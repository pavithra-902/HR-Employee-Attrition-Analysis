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5.xml" ContentType="application/vnd.openxmlformats-officedocument.spreadsheetml.table+xml"/>
  <Override PartName="/xl/pivotTables/pivotTable12.xml" ContentType="application/vnd.openxmlformats-officedocument.spreadsheetml.pivotTable+xml"/>
  <Override PartName="/xl/tables/table6.xml" ContentType="application/vnd.openxmlformats-officedocument.spreadsheetml.table+xml"/>
  <Override PartName="/xl/pivotTables/pivotTable13.xml" ContentType="application/vnd.openxmlformats-officedocument.spreadsheetml.pivotTable+xml"/>
  <Override PartName="/xl/tables/table7.xml" ContentType="application/vnd.openxmlformats-officedocument.spreadsheetml.table+xml"/>
  <Override PartName="/xl/pivotTables/pivotTable14.xml" ContentType="application/vnd.openxmlformats-officedocument.spreadsheetml.pivot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9045" firstSheet="6" activeTab="14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2" r:id="rId10"/>
    <sheet name="sheet11" sheetId="13" r:id="rId11"/>
    <sheet name="sheet12" sheetId="15" r:id="rId12"/>
    <sheet name="sheet13" sheetId="17" r:id="rId13"/>
    <sheet name="sheet14" sheetId="18" r:id="rId14"/>
    <sheet name="Dashboard" sheetId="21" r:id="rId15"/>
    <sheet name="WA_Fn-UseC_-HR-Employee-Attriti" sheetId="1" r:id="rId16"/>
  </sheets>
  <definedNames>
    <definedName name="_xlnm._FilterDatabase" localSheetId="15" hidden="1">'WA_Fn-UseC_-HR-Employee-Attriti'!$A$1:$AN$1471</definedName>
    <definedName name="A">'WA_Fn-UseC_-HR-Employee-Attriti'!$AN$3</definedName>
    <definedName name="AI">'WA_Fn-UseC_-HR-Employee-Attriti'!$1:$1048576</definedName>
  </definedNames>
  <calcPr calcId="152511"/>
  <pivotCaches>
    <pivotCache cacheId="0" r:id="rId17"/>
    <pivotCache cacheId="1" r:id="rId18"/>
    <pivotCache cacheId="2" r:id="rId19"/>
    <pivotCache cacheId="3" r:id="rId20"/>
  </pivotCaches>
</workbook>
</file>

<file path=xl/calcChain.xml><?xml version="1.0" encoding="utf-8"?>
<calcChain xmlns="http://schemas.openxmlformats.org/spreadsheetml/2006/main">
  <c r="F26" i="21" l="1"/>
  <c r="F27" i="21"/>
  <c r="F25" i="21"/>
  <c r="F24" i="21"/>
  <c r="B24" i="8"/>
  <c r="B23" i="8"/>
  <c r="B22" i="8"/>
  <c r="B21" i="8"/>
  <c r="B20" i="8"/>
  <c r="B19" i="8"/>
  <c r="E10" i="8"/>
  <c r="E9" i="8"/>
  <c r="E8" i="8"/>
  <c r="E7" i="8"/>
  <c r="E6" i="8"/>
  <c r="E5" i="8"/>
  <c r="I27" i="21"/>
  <c r="I26" i="21"/>
  <c r="I25" i="21"/>
  <c r="I24" i="21"/>
  <c r="B19" i="18"/>
  <c r="B18" i="18"/>
  <c r="B17" i="18"/>
  <c r="B16" i="18"/>
  <c r="E5" i="18"/>
  <c r="E8" i="18"/>
  <c r="E7" i="18"/>
  <c r="E6" i="18"/>
  <c r="C52" i="21"/>
  <c r="C51" i="21"/>
  <c r="C50" i="21"/>
  <c r="C49" i="21"/>
  <c r="C48" i="21"/>
  <c r="C47" i="21"/>
  <c r="C46" i="21"/>
  <c r="C45" i="21"/>
  <c r="C44" i="21"/>
  <c r="I10" i="21"/>
  <c r="I9" i="21"/>
  <c r="I8" i="21"/>
  <c r="B15" i="15"/>
  <c r="B14" i="15"/>
  <c r="B13" i="15"/>
  <c r="E7" i="15"/>
  <c r="E6" i="15"/>
  <c r="E5" i="15"/>
  <c r="B18" i="13"/>
  <c r="B17" i="13"/>
  <c r="B16" i="13"/>
  <c r="B15" i="13"/>
  <c r="E8" i="13"/>
  <c r="E7" i="13"/>
  <c r="E6" i="13"/>
  <c r="E5" i="13"/>
  <c r="C28" i="21"/>
  <c r="C27" i="21"/>
  <c r="C26" i="21"/>
  <c r="C25" i="21"/>
  <c r="C24" i="21"/>
  <c r="B20" i="17"/>
  <c r="B19" i="17"/>
  <c r="B18" i="17"/>
  <c r="B17" i="17"/>
  <c r="B16" i="17"/>
  <c r="E9" i="17"/>
  <c r="E8" i="17"/>
  <c r="E7" i="17"/>
  <c r="E6" i="17"/>
  <c r="E5" i="17"/>
  <c r="B27" i="5"/>
  <c r="B26" i="5"/>
  <c r="B25" i="5"/>
  <c r="B24" i="5"/>
  <c r="B23" i="5"/>
  <c r="B22" i="5"/>
  <c r="B21" i="5"/>
  <c r="B20" i="5"/>
  <c r="B19" i="5"/>
  <c r="E13" i="5"/>
  <c r="E12" i="5"/>
  <c r="E11" i="5"/>
  <c r="E9" i="5"/>
  <c r="E8" i="5"/>
  <c r="E7" i="5"/>
  <c r="E6" i="5"/>
  <c r="E5" i="5"/>
  <c r="E10" i="5"/>
  <c r="F10" i="21"/>
  <c r="F9" i="21"/>
  <c r="B15" i="4"/>
  <c r="B14" i="4"/>
  <c r="E5" i="4"/>
  <c r="E6" i="4"/>
  <c r="C11" i="21" l="1"/>
  <c r="C10" i="21"/>
  <c r="C9" i="21"/>
  <c r="B22" i="3"/>
  <c r="B21" i="3"/>
  <c r="B20" i="3"/>
  <c r="AO1471" i="1"/>
  <c r="AO1470" i="1"/>
  <c r="AO1469" i="1"/>
  <c r="AO1468" i="1"/>
  <c r="AO1467" i="1"/>
  <c r="AO1466" i="1"/>
  <c r="AO1465" i="1"/>
  <c r="AO1464" i="1"/>
  <c r="AO1463" i="1"/>
  <c r="AO1462" i="1"/>
  <c r="AO1461" i="1"/>
  <c r="AO1460" i="1"/>
  <c r="AO1459" i="1"/>
  <c r="AO1458" i="1"/>
  <c r="AO1457" i="1"/>
  <c r="AO1456" i="1"/>
  <c r="AO1455" i="1"/>
  <c r="AO1454" i="1"/>
  <c r="AO1453" i="1"/>
  <c r="AO1452" i="1"/>
  <c r="AO1451" i="1"/>
  <c r="AO1450" i="1"/>
  <c r="AO1449" i="1"/>
  <c r="AO1448" i="1"/>
  <c r="AO1447" i="1"/>
  <c r="AO1446" i="1"/>
  <c r="AO1445" i="1"/>
  <c r="AO1444" i="1"/>
  <c r="AO1443" i="1"/>
  <c r="AO1442" i="1"/>
  <c r="AO1441" i="1"/>
  <c r="AO1440" i="1"/>
  <c r="AO1439" i="1"/>
  <c r="AO1438" i="1"/>
  <c r="AO1437" i="1"/>
  <c r="AO1436" i="1"/>
  <c r="AO1435" i="1"/>
  <c r="AO1434" i="1"/>
  <c r="AO1433" i="1"/>
  <c r="AO1432" i="1"/>
  <c r="AO1431" i="1"/>
  <c r="AO1430" i="1"/>
  <c r="AO1429" i="1"/>
  <c r="AO1428" i="1"/>
  <c r="AO1427" i="1"/>
  <c r="AO1426" i="1"/>
  <c r="AO1425" i="1"/>
  <c r="AO1424" i="1"/>
  <c r="AO1423" i="1"/>
  <c r="AO1422" i="1"/>
  <c r="AO1421" i="1"/>
  <c r="AO1420" i="1"/>
  <c r="AO1419" i="1"/>
  <c r="AO1418" i="1"/>
  <c r="AO1417" i="1"/>
  <c r="AO1416" i="1"/>
  <c r="AO1415" i="1"/>
  <c r="AO1414" i="1"/>
  <c r="AO1413" i="1"/>
  <c r="AO1412" i="1"/>
  <c r="AO1411" i="1"/>
  <c r="AO1410" i="1"/>
  <c r="AO1409" i="1"/>
  <c r="AO1408" i="1"/>
  <c r="AO1407" i="1"/>
  <c r="AO1406" i="1"/>
  <c r="AO1405" i="1"/>
  <c r="AO1404" i="1"/>
  <c r="AO1403" i="1"/>
  <c r="AO1402" i="1"/>
  <c r="AO1401" i="1"/>
  <c r="AO1400" i="1"/>
  <c r="AO1399" i="1"/>
  <c r="AO1398" i="1"/>
  <c r="AO1397" i="1"/>
  <c r="AO1396" i="1"/>
  <c r="AO1395" i="1"/>
  <c r="AO1394" i="1"/>
  <c r="AO1393" i="1"/>
  <c r="AO1392" i="1"/>
  <c r="AO1391" i="1"/>
  <c r="AO1390" i="1"/>
  <c r="AO1389" i="1"/>
  <c r="AO1388" i="1"/>
  <c r="AO1387" i="1"/>
  <c r="AO1386" i="1"/>
  <c r="AO1385" i="1"/>
  <c r="AO1384" i="1"/>
  <c r="AO1383" i="1"/>
  <c r="AO1382" i="1"/>
  <c r="AO1381" i="1"/>
  <c r="AO1380" i="1"/>
  <c r="AO1379" i="1"/>
  <c r="AO1378" i="1"/>
  <c r="AO1377" i="1"/>
  <c r="AO1376" i="1"/>
  <c r="AO1375" i="1"/>
  <c r="AO1374" i="1"/>
  <c r="AO1373" i="1"/>
  <c r="AO1372" i="1"/>
  <c r="AO1371" i="1"/>
  <c r="AO1370" i="1"/>
  <c r="AO1369" i="1"/>
  <c r="AO1368" i="1"/>
  <c r="AO1367" i="1"/>
  <c r="AO1366" i="1"/>
  <c r="AO1365" i="1"/>
  <c r="AO1364" i="1"/>
  <c r="AO1363" i="1"/>
  <c r="AO1362" i="1"/>
  <c r="AO1361" i="1"/>
  <c r="AO1360" i="1"/>
  <c r="AO1359" i="1"/>
  <c r="AO1358" i="1"/>
  <c r="AO1357" i="1"/>
  <c r="AO1356" i="1"/>
  <c r="AO1355" i="1"/>
  <c r="AO1354" i="1"/>
  <c r="AO1353" i="1"/>
  <c r="AO1352" i="1"/>
  <c r="AO1351" i="1"/>
  <c r="AO1350" i="1"/>
  <c r="AO1349" i="1"/>
  <c r="AO1348" i="1"/>
  <c r="AO1347" i="1"/>
  <c r="AO1346" i="1"/>
  <c r="AO1345" i="1"/>
  <c r="AO1344" i="1"/>
  <c r="AO1343" i="1"/>
  <c r="AO1342" i="1"/>
  <c r="AO1341" i="1"/>
  <c r="AO1340" i="1"/>
  <c r="AO1339" i="1"/>
  <c r="AO1338" i="1"/>
  <c r="AO1337" i="1"/>
  <c r="AO1336" i="1"/>
  <c r="AO1335" i="1"/>
  <c r="AO1334" i="1"/>
  <c r="AO1333" i="1"/>
  <c r="AO1332" i="1"/>
  <c r="AO1331" i="1"/>
  <c r="AO1330" i="1"/>
  <c r="AO1329" i="1"/>
  <c r="AO1328" i="1"/>
  <c r="AO1327" i="1"/>
  <c r="AO1326" i="1"/>
  <c r="AO1325" i="1"/>
  <c r="AO1324" i="1"/>
  <c r="AO1323" i="1"/>
  <c r="AO1322" i="1"/>
  <c r="AO1321" i="1"/>
  <c r="AO1320" i="1"/>
  <c r="AO1319" i="1"/>
  <c r="AO1318" i="1"/>
  <c r="AO1317" i="1"/>
  <c r="AO1316" i="1"/>
  <c r="AO1315" i="1"/>
  <c r="AO1314" i="1"/>
  <c r="AO1313" i="1"/>
  <c r="AO1312" i="1"/>
  <c r="AO1311" i="1"/>
  <c r="AO1310" i="1"/>
  <c r="AO1309" i="1"/>
  <c r="AO1308" i="1"/>
  <c r="AO1307" i="1"/>
  <c r="AO1306" i="1"/>
  <c r="AO1305" i="1"/>
  <c r="AO1304" i="1"/>
  <c r="AO1303" i="1"/>
  <c r="AO1302" i="1"/>
  <c r="AO1301" i="1"/>
  <c r="AO1300" i="1"/>
  <c r="AO1299" i="1"/>
  <c r="AO1298" i="1"/>
  <c r="AO1297" i="1"/>
  <c r="AO1296" i="1"/>
  <c r="AO1295" i="1"/>
  <c r="AO1294" i="1"/>
  <c r="AO1293" i="1"/>
  <c r="AO1292" i="1"/>
  <c r="AO1291" i="1"/>
  <c r="AO1290" i="1"/>
  <c r="AO1289" i="1"/>
  <c r="AO1288" i="1"/>
  <c r="AO1287" i="1"/>
  <c r="AO1286" i="1"/>
  <c r="AO1285" i="1"/>
  <c r="AO1284" i="1"/>
  <c r="AO1283" i="1"/>
  <c r="AO1282" i="1"/>
  <c r="AO1281" i="1"/>
  <c r="AO1280" i="1"/>
  <c r="AO1279" i="1"/>
  <c r="AO1278" i="1"/>
  <c r="AO1277" i="1"/>
  <c r="AO1276" i="1"/>
  <c r="AO1275" i="1"/>
  <c r="AO1274" i="1"/>
  <c r="AO1273" i="1"/>
  <c r="AO1272" i="1"/>
  <c r="AO1271" i="1"/>
  <c r="AO1270" i="1"/>
  <c r="AO1269" i="1"/>
  <c r="AO1268" i="1"/>
  <c r="AO1267" i="1"/>
  <c r="AO1266" i="1"/>
  <c r="AO1265" i="1"/>
  <c r="AO1264" i="1"/>
  <c r="AO1263" i="1"/>
  <c r="AO1262" i="1"/>
  <c r="AO1261" i="1"/>
  <c r="AO1260" i="1"/>
  <c r="AO1259" i="1"/>
  <c r="AO1258" i="1"/>
  <c r="AO1257" i="1"/>
  <c r="AO1256" i="1"/>
  <c r="AO1255" i="1"/>
  <c r="AO1254" i="1"/>
  <c r="AO1253" i="1"/>
  <c r="AO1252" i="1"/>
  <c r="AO1251" i="1"/>
  <c r="AO1250" i="1"/>
  <c r="AO1249" i="1"/>
  <c r="AO1248" i="1"/>
  <c r="AO1247" i="1"/>
  <c r="AO1246" i="1"/>
  <c r="AO1245" i="1"/>
  <c r="AO1244" i="1"/>
  <c r="AO1243" i="1"/>
  <c r="AO1242" i="1"/>
  <c r="AO1241" i="1"/>
  <c r="AO1240" i="1"/>
  <c r="AO1239" i="1"/>
  <c r="AO1238" i="1"/>
  <c r="AO1237" i="1"/>
  <c r="AO1236" i="1"/>
  <c r="AO1235" i="1"/>
  <c r="AO1234" i="1"/>
  <c r="AO1233" i="1"/>
  <c r="AO1232" i="1"/>
  <c r="AO1231" i="1"/>
  <c r="AO1230" i="1"/>
  <c r="AO1229" i="1"/>
  <c r="AO1228" i="1"/>
  <c r="AO1227" i="1"/>
  <c r="AO1226" i="1"/>
  <c r="AO1225" i="1"/>
  <c r="AO1224" i="1"/>
  <c r="AO1223" i="1"/>
  <c r="AO1222" i="1"/>
  <c r="AO1221" i="1"/>
  <c r="AO1220" i="1"/>
  <c r="AO1219" i="1"/>
  <c r="AO1218" i="1"/>
  <c r="AO1217" i="1"/>
  <c r="AO1216" i="1"/>
  <c r="AO1215" i="1"/>
  <c r="AO1214" i="1"/>
  <c r="AO1213" i="1"/>
  <c r="AO1212" i="1"/>
  <c r="AO1211" i="1"/>
  <c r="AO1210" i="1"/>
  <c r="AO1209" i="1"/>
  <c r="AO1208" i="1"/>
  <c r="AO1207" i="1"/>
  <c r="AO1206" i="1"/>
  <c r="AO1205" i="1"/>
  <c r="AO1204" i="1"/>
  <c r="AO1203" i="1"/>
  <c r="AO1202" i="1"/>
  <c r="AO1201" i="1"/>
  <c r="AO1200" i="1"/>
  <c r="AO1199" i="1"/>
  <c r="AO1198" i="1"/>
  <c r="AO1197" i="1"/>
  <c r="AO1196" i="1"/>
  <c r="AO1195" i="1"/>
  <c r="AO1194" i="1"/>
  <c r="AO1193" i="1"/>
  <c r="AO1192" i="1"/>
  <c r="AO1191" i="1"/>
  <c r="AO1190" i="1"/>
  <c r="AO1189" i="1"/>
  <c r="AO1188" i="1"/>
  <c r="AO1187" i="1"/>
  <c r="AO1186" i="1"/>
  <c r="AO1185" i="1"/>
  <c r="AO1184" i="1"/>
  <c r="AO1183" i="1"/>
  <c r="AO1182" i="1"/>
  <c r="AO1181" i="1"/>
  <c r="AO1180" i="1"/>
  <c r="AO1179" i="1"/>
  <c r="AO1178" i="1"/>
  <c r="AO1177" i="1"/>
  <c r="AO1176" i="1"/>
  <c r="AO1175" i="1"/>
  <c r="AO1174" i="1"/>
  <c r="AO1173" i="1"/>
  <c r="AO1172" i="1"/>
  <c r="AO1171" i="1"/>
  <c r="AO1170" i="1"/>
  <c r="AO1169" i="1"/>
  <c r="AO1168" i="1"/>
  <c r="AO1167" i="1"/>
  <c r="AO1166" i="1"/>
  <c r="AO1165" i="1"/>
  <c r="AO1164" i="1"/>
  <c r="AO1163" i="1"/>
  <c r="AO1162" i="1"/>
  <c r="AO1161" i="1"/>
  <c r="AO1160" i="1"/>
  <c r="AO1159" i="1"/>
  <c r="AO1158" i="1"/>
  <c r="AO1157" i="1"/>
  <c r="AO1156" i="1"/>
  <c r="AO1155" i="1"/>
  <c r="AO1154" i="1"/>
  <c r="AO1153" i="1"/>
  <c r="AO1152" i="1"/>
  <c r="AO1151" i="1"/>
  <c r="AO1150" i="1"/>
  <c r="AO1149" i="1"/>
  <c r="AO1148" i="1"/>
  <c r="AO1147" i="1"/>
  <c r="AO1146" i="1"/>
  <c r="AO1145" i="1"/>
  <c r="AO1144" i="1"/>
  <c r="AO1143" i="1"/>
  <c r="AO1142" i="1"/>
  <c r="AO1141" i="1"/>
  <c r="AO1140" i="1"/>
  <c r="AO1139" i="1"/>
  <c r="AO1138" i="1"/>
  <c r="AO1137" i="1"/>
  <c r="AO1136" i="1"/>
  <c r="AO1135" i="1"/>
  <c r="AO1134" i="1"/>
  <c r="AO1133" i="1"/>
  <c r="AO1132" i="1"/>
  <c r="AO1131" i="1"/>
  <c r="AO1130" i="1"/>
  <c r="AO1129" i="1"/>
  <c r="AO1128" i="1"/>
  <c r="AO1127" i="1"/>
  <c r="AO1126" i="1"/>
  <c r="AO1125" i="1"/>
  <c r="AO1124" i="1"/>
  <c r="AO1123" i="1"/>
  <c r="AO1122" i="1"/>
  <c r="AO1121" i="1"/>
  <c r="AO1120" i="1"/>
  <c r="AO1119" i="1"/>
  <c r="AO1118" i="1"/>
  <c r="AO1117" i="1"/>
  <c r="AO1116" i="1"/>
  <c r="AO1115" i="1"/>
  <c r="AO1114" i="1"/>
  <c r="AO1113" i="1"/>
  <c r="AO1112" i="1"/>
  <c r="AO1111" i="1"/>
  <c r="AO1110" i="1"/>
  <c r="AO1109" i="1"/>
  <c r="AO1108" i="1"/>
  <c r="AO1107" i="1"/>
  <c r="AO1106" i="1"/>
  <c r="AO1105" i="1"/>
  <c r="AO1104" i="1"/>
  <c r="AO1103" i="1"/>
  <c r="AO1102" i="1"/>
  <c r="AO1101" i="1"/>
  <c r="AO1100" i="1"/>
  <c r="AO1099" i="1"/>
  <c r="AO1098" i="1"/>
  <c r="AO1097" i="1"/>
  <c r="AO1096" i="1"/>
  <c r="AO1095" i="1"/>
  <c r="AO1094" i="1"/>
  <c r="AO1093" i="1"/>
  <c r="AO1092" i="1"/>
  <c r="AO1091" i="1"/>
  <c r="AO1090" i="1"/>
  <c r="AO1089" i="1"/>
  <c r="AO1088" i="1"/>
  <c r="AO1087" i="1"/>
  <c r="AO1086" i="1"/>
  <c r="AO1085" i="1"/>
  <c r="AO1084" i="1"/>
  <c r="AO1083" i="1"/>
  <c r="AO1082" i="1"/>
  <c r="AO1081" i="1"/>
  <c r="AO1080" i="1"/>
  <c r="AO1079" i="1"/>
  <c r="AO1078" i="1"/>
  <c r="AO1077" i="1"/>
  <c r="AO1076" i="1"/>
  <c r="AO1075" i="1"/>
  <c r="AO1074" i="1"/>
  <c r="AO1073" i="1"/>
  <c r="AO1072" i="1"/>
  <c r="AO1071" i="1"/>
  <c r="AO1070" i="1"/>
  <c r="AO1069" i="1"/>
  <c r="AO1068" i="1"/>
  <c r="AO1067" i="1"/>
  <c r="AO1066" i="1"/>
  <c r="AO1065" i="1"/>
  <c r="AO1064" i="1"/>
  <c r="AO1063" i="1"/>
  <c r="AO1062" i="1"/>
  <c r="AO1061" i="1"/>
  <c r="AO1060" i="1"/>
  <c r="AO1059" i="1"/>
  <c r="AO1058" i="1"/>
  <c r="AO1057" i="1"/>
  <c r="AO1056" i="1"/>
  <c r="AO1055" i="1"/>
  <c r="AO1054" i="1"/>
  <c r="AO1053" i="1"/>
  <c r="AO1052" i="1"/>
  <c r="AO1051" i="1"/>
  <c r="AO1050" i="1"/>
  <c r="AO1049" i="1"/>
  <c r="AO1048" i="1"/>
  <c r="AO1047" i="1"/>
  <c r="AO1046" i="1"/>
  <c r="AO1045" i="1"/>
  <c r="AO1044" i="1"/>
  <c r="AO1043" i="1"/>
  <c r="AO1042" i="1"/>
  <c r="AO1041" i="1"/>
  <c r="AO1040" i="1"/>
  <c r="AO1039" i="1"/>
  <c r="AO1038" i="1"/>
  <c r="AO1037" i="1"/>
  <c r="AO1036" i="1"/>
  <c r="AO1035" i="1"/>
  <c r="AO1034" i="1"/>
  <c r="AO1033" i="1"/>
  <c r="AO1032" i="1"/>
  <c r="AO1031" i="1"/>
  <c r="AO1030" i="1"/>
  <c r="AO1029" i="1"/>
  <c r="AO1028" i="1"/>
  <c r="AO1027" i="1"/>
  <c r="AO1026" i="1"/>
  <c r="AO1025" i="1"/>
  <c r="AO1024" i="1"/>
  <c r="AO1023" i="1"/>
  <c r="AO1022" i="1"/>
  <c r="AO1021" i="1"/>
  <c r="AO1020" i="1"/>
  <c r="AO1019" i="1"/>
  <c r="AO1018" i="1"/>
  <c r="AO1017" i="1"/>
  <c r="AO1016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992" i="1"/>
  <c r="AO991" i="1"/>
  <c r="AO990" i="1"/>
  <c r="AO989" i="1"/>
  <c r="AO988" i="1"/>
  <c r="AO987" i="1"/>
  <c r="AO986" i="1"/>
  <c r="AO985" i="1"/>
  <c r="AO984" i="1"/>
  <c r="AO983" i="1"/>
  <c r="AO982" i="1"/>
  <c r="AO981" i="1"/>
  <c r="AO980" i="1"/>
  <c r="AO979" i="1"/>
  <c r="AO978" i="1"/>
  <c r="AO977" i="1"/>
  <c r="AO976" i="1"/>
  <c r="AO975" i="1"/>
  <c r="AO974" i="1"/>
  <c r="AO973" i="1"/>
  <c r="AO972" i="1"/>
  <c r="AO971" i="1"/>
  <c r="AO970" i="1"/>
  <c r="AO969" i="1"/>
  <c r="AO968" i="1"/>
  <c r="AO967" i="1"/>
  <c r="AO966" i="1"/>
  <c r="AO965" i="1"/>
  <c r="AO964" i="1"/>
  <c r="AO963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N1471" i="1"/>
  <c r="AN1470" i="1"/>
  <c r="AN1469" i="1"/>
  <c r="AN1468" i="1"/>
  <c r="AN1467" i="1"/>
  <c r="AN1466" i="1"/>
  <c r="AN1465" i="1"/>
  <c r="AN1464" i="1"/>
  <c r="AN1463" i="1"/>
  <c r="AN1462" i="1"/>
  <c r="AN1461" i="1"/>
  <c r="AN1460" i="1"/>
  <c r="AN1459" i="1"/>
  <c r="AN1458" i="1"/>
  <c r="AN1457" i="1"/>
  <c r="AN1456" i="1"/>
  <c r="AN1455" i="1"/>
  <c r="AN1454" i="1"/>
  <c r="AN1453" i="1"/>
  <c r="AN1452" i="1"/>
  <c r="AN1451" i="1"/>
  <c r="AN1450" i="1"/>
  <c r="AN1449" i="1"/>
  <c r="AN1448" i="1"/>
  <c r="AN1447" i="1"/>
  <c r="AN1446" i="1"/>
  <c r="AN1445" i="1"/>
  <c r="AN1444" i="1"/>
  <c r="AN1443" i="1"/>
  <c r="AN1442" i="1"/>
  <c r="AN1441" i="1"/>
  <c r="AN1440" i="1"/>
  <c r="AN1439" i="1"/>
  <c r="AN1438" i="1"/>
  <c r="AN1437" i="1"/>
  <c r="AN1436" i="1"/>
  <c r="AN1435" i="1"/>
  <c r="AN1434" i="1"/>
  <c r="AN1433" i="1"/>
  <c r="AN1432" i="1"/>
  <c r="AN1431" i="1"/>
  <c r="AN1430" i="1"/>
  <c r="AN1429" i="1"/>
  <c r="AN1428" i="1"/>
  <c r="AN1427" i="1"/>
  <c r="AN1426" i="1"/>
  <c r="AN1425" i="1"/>
  <c r="AN1424" i="1"/>
  <c r="AN1423" i="1"/>
  <c r="AN1422" i="1"/>
  <c r="AN1421" i="1"/>
  <c r="AN1420" i="1"/>
  <c r="AN1419" i="1"/>
  <c r="AN1418" i="1"/>
  <c r="AN1417" i="1"/>
  <c r="AN1416" i="1"/>
  <c r="AN1415" i="1"/>
  <c r="AN1414" i="1"/>
  <c r="AN1413" i="1"/>
  <c r="AN1412" i="1"/>
  <c r="AN1411" i="1"/>
  <c r="AN1410" i="1"/>
  <c r="AN1409" i="1"/>
  <c r="AN1408" i="1"/>
  <c r="AN1407" i="1"/>
  <c r="AN1406" i="1"/>
  <c r="AN1405" i="1"/>
  <c r="AN1404" i="1"/>
  <c r="AN1403" i="1"/>
  <c r="AN1402" i="1"/>
  <c r="AN1401" i="1"/>
  <c r="AN1400" i="1"/>
  <c r="AN1399" i="1"/>
  <c r="AN1398" i="1"/>
  <c r="AN1397" i="1"/>
  <c r="AN1396" i="1"/>
  <c r="AN1395" i="1"/>
  <c r="AN1394" i="1"/>
  <c r="AN1393" i="1"/>
  <c r="AN1392" i="1"/>
  <c r="AN1391" i="1"/>
  <c r="AN1390" i="1"/>
  <c r="AN1389" i="1"/>
  <c r="AN1388" i="1"/>
  <c r="AN1387" i="1"/>
  <c r="AN1386" i="1"/>
  <c r="AN1385" i="1"/>
  <c r="AN1384" i="1"/>
  <c r="AN1383" i="1"/>
  <c r="AN1382" i="1"/>
  <c r="AN1381" i="1"/>
  <c r="AN1380" i="1"/>
  <c r="AN1379" i="1"/>
  <c r="AN1378" i="1"/>
  <c r="AN1377" i="1"/>
  <c r="AN1376" i="1"/>
  <c r="AN1375" i="1"/>
  <c r="AN1374" i="1"/>
  <c r="AN1373" i="1"/>
  <c r="AN1372" i="1"/>
  <c r="AN1371" i="1"/>
  <c r="AN1370" i="1"/>
  <c r="AN1369" i="1"/>
  <c r="AN1368" i="1"/>
  <c r="AN1367" i="1"/>
  <c r="AN1366" i="1"/>
  <c r="AN1365" i="1"/>
  <c r="AN1364" i="1"/>
  <c r="AN1363" i="1"/>
  <c r="AN1362" i="1"/>
  <c r="AN1361" i="1"/>
  <c r="AN1360" i="1"/>
  <c r="AN1359" i="1"/>
  <c r="AN1358" i="1"/>
  <c r="AN1357" i="1"/>
  <c r="AN1356" i="1"/>
  <c r="AN1355" i="1"/>
  <c r="AN1354" i="1"/>
  <c r="AN1353" i="1"/>
  <c r="AN1352" i="1"/>
  <c r="AN1351" i="1"/>
  <c r="AN1350" i="1"/>
  <c r="AN1349" i="1"/>
  <c r="AN1348" i="1"/>
  <c r="AN1347" i="1"/>
  <c r="AN1346" i="1"/>
  <c r="AN1345" i="1"/>
  <c r="AN1344" i="1"/>
  <c r="AN1343" i="1"/>
  <c r="AN1342" i="1"/>
  <c r="AN1341" i="1"/>
  <c r="AN1340" i="1"/>
  <c r="AN1339" i="1"/>
  <c r="AN1338" i="1"/>
  <c r="AN1337" i="1"/>
  <c r="AN1336" i="1"/>
  <c r="AN1335" i="1"/>
  <c r="AN1334" i="1"/>
  <c r="AN1333" i="1"/>
  <c r="AN1332" i="1"/>
  <c r="AN1331" i="1"/>
  <c r="AN1330" i="1"/>
  <c r="AN1329" i="1"/>
  <c r="AN1328" i="1"/>
  <c r="AN1327" i="1"/>
  <c r="AN1326" i="1"/>
  <c r="AN1325" i="1"/>
  <c r="AN1324" i="1"/>
  <c r="AN1323" i="1"/>
  <c r="AN1322" i="1"/>
  <c r="AN1321" i="1"/>
  <c r="AN1320" i="1"/>
  <c r="AN1319" i="1"/>
  <c r="AN1318" i="1"/>
  <c r="AN1317" i="1"/>
  <c r="AN1316" i="1"/>
  <c r="AN1315" i="1"/>
  <c r="AN1314" i="1"/>
  <c r="AN1313" i="1"/>
  <c r="AN1312" i="1"/>
  <c r="AN1311" i="1"/>
  <c r="AN1310" i="1"/>
  <c r="AN1309" i="1"/>
  <c r="AN1308" i="1"/>
  <c r="AN1307" i="1"/>
  <c r="AN1306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M8" i="1"/>
  <c r="AN2" i="1"/>
  <c r="E9" i="10" l="1"/>
  <c r="E8" i="10"/>
  <c r="E7" i="10"/>
  <c r="E6" i="10"/>
  <c r="E5" i="10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3" i="1"/>
  <c r="AM4" i="1"/>
  <c r="AM5" i="1"/>
  <c r="AM6" i="1"/>
  <c r="AM7" i="1"/>
  <c r="AM2" i="1"/>
  <c r="E8" i="6" l="1"/>
  <c r="E7" i="6"/>
  <c r="E6" i="6"/>
  <c r="E5" i="6"/>
  <c r="F7" i="4"/>
  <c r="F6" i="4"/>
  <c r="F5" i="4"/>
  <c r="F7" i="3"/>
  <c r="F6" i="3"/>
  <c r="F5" i="3"/>
  <c r="B8" i="2"/>
  <c r="AK2" i="1"/>
  <c r="AJ1471" i="1" l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L2" i="1" l="1"/>
</calcChain>
</file>

<file path=xl/sharedStrings.xml><?xml version="1.0" encoding="utf-8"?>
<sst xmlns="http://schemas.openxmlformats.org/spreadsheetml/2006/main" count="13502" uniqueCount="109">
  <si>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</si>
  <si>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</si>
  <si>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</si>
  <si>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</si>
  <si>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</si>
  <si>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</si>
  <si>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</si>
  <si>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</si>
  <si>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</si>
  <si>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</si>
  <si>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</si>
  <si>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</si>
  <si>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</si>
  <si>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</si>
  <si>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</si>
  <si>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</si>
  <si>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</si>
  <si>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</si>
  <si>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</si>
  <si>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</si>
  <si>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</si>
  <si>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</si>
  <si>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</si>
  <si>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</si>
  <si>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</si>
  <si>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</si>
  <si>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</si>
  <si>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</si>
  <si>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</si>
  <si>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</si>
  <si>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</si>
  <si>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</si>
  <si>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</si>
  <si>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</si>
  <si>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</si>
  <si>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</si>
  <si>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</si>
  <si>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</si>
  <si>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</si>
  <si>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</si>
  <si>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</si>
  <si>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</si>
  <si>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</si>
  <si>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</si>
  <si>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</si>
  <si>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</si>
  <si>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</si>
  <si>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</si>
  <si>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</si>
  <si>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</si>
  <si>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</si>
  <si>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</si>
  <si>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</si>
  <si>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</si>
  <si>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</si>
  <si>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</si>
  <si>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</si>
  <si>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</si>
  <si>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</si>
  <si>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</si>
  <si>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</si>
  <si>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</si>
  <si>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Duplicate_check</t>
  </si>
  <si>
    <t>Test_key</t>
  </si>
  <si>
    <t>key_count</t>
  </si>
  <si>
    <t>Row Labels</t>
  </si>
  <si>
    <t>Grand Total</t>
  </si>
  <si>
    <t>Count of EmployeeNumber</t>
  </si>
  <si>
    <t xml:space="preserve">overall attirition rate </t>
  </si>
  <si>
    <t>Column Labels</t>
  </si>
  <si>
    <t>Total Attrition</t>
  </si>
  <si>
    <t>overtime left</t>
  </si>
  <si>
    <t>overtime stayed</t>
  </si>
  <si>
    <t xml:space="preserve">Total  attrition </t>
  </si>
  <si>
    <t>Attrition Rate</t>
  </si>
  <si>
    <t>Tenure_groups</t>
  </si>
  <si>
    <t>0-2 Years</t>
  </si>
  <si>
    <t>11-15 Years</t>
  </si>
  <si>
    <t>16-20 Years</t>
  </si>
  <si>
    <t>21+ Years</t>
  </si>
  <si>
    <t>3-5 Years</t>
  </si>
  <si>
    <t>6-10 Years</t>
  </si>
  <si>
    <t>Total Attrition rate</t>
  </si>
  <si>
    <t>Average of MonthlyIncome</t>
  </si>
  <si>
    <t xml:space="preserve">Attrition rate </t>
  </si>
  <si>
    <t>Tenure_people</t>
  </si>
  <si>
    <t>Total attrition rate</t>
  </si>
  <si>
    <t xml:space="preserve">Total Attrition rate </t>
  </si>
  <si>
    <t>Age_group</t>
  </si>
  <si>
    <t>18-25 years</t>
  </si>
  <si>
    <t>26-35 years</t>
  </si>
  <si>
    <t>36-45 years</t>
  </si>
  <si>
    <t>46-55 Years</t>
  </si>
  <si>
    <t>56+ years</t>
  </si>
  <si>
    <t xml:space="preserve">Total Attrition Rate </t>
  </si>
  <si>
    <t>TOTAL EMPLOYEES</t>
  </si>
  <si>
    <t>EMPLOYEES LEFT</t>
  </si>
  <si>
    <t>EMPLOYEE STAYED</t>
  </si>
  <si>
    <t>ATTRITION RATE</t>
  </si>
  <si>
    <t xml:space="preserve">Overtime </t>
  </si>
  <si>
    <t xml:space="preserve">Attrition Rate </t>
  </si>
  <si>
    <t>Overtime</t>
  </si>
  <si>
    <t>Job Role</t>
  </si>
  <si>
    <t>Age Group</t>
  </si>
  <si>
    <t>Business Travel</t>
  </si>
  <si>
    <t xml:space="preserve">Worklife Balance </t>
  </si>
  <si>
    <t>Tenure People</t>
  </si>
  <si>
    <t>21+ years</t>
  </si>
  <si>
    <t>HR EMPLOYEE ATTRITION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</si>
</sst>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10" fontId="0" fillId="0" borderId="0" xfId="42" applyNumberFormat="1" applyFont="1"/>
    <xf numFmtId="0" fontId="19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Attrition Rate By Department</a:t>
            </a:r>
          </a:p>
        </c:rich>
      </c:tx>
      <c:layout>
        <c:manualLayout>
          <c:xMode val="edge"/>
          <c:yMode val="edge"/>
          <c:x val="0.1453309178743961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86534637715739"/>
          <c:y val="0.16749999999999998"/>
          <c:w val="0.78669020917839816"/>
          <c:h val="0.5909106153397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Dashboard!$B$9:$B$11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Dashboard!$C$9:$C$11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2629312"/>
        <c:axId val="300564816"/>
      </c:barChart>
      <c:catAx>
        <c:axId val="3426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564816"/>
        <c:crosses val="autoZero"/>
        <c:auto val="1"/>
        <c:lblAlgn val="ctr"/>
        <c:lblOffset val="100"/>
        <c:noMultiLvlLbl val="0"/>
      </c:catAx>
      <c:valAx>
        <c:axId val="3005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2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 Overtime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Attrition Rate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Dashboard!$E$9:$E$10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Dashboard!$F$9:$F$10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8326480"/>
        <c:axId val="342734008"/>
      </c:barChart>
      <c:catAx>
        <c:axId val="29832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34008"/>
        <c:crosses val="autoZero"/>
        <c:auto val="1"/>
        <c:lblAlgn val="ctr"/>
        <c:lblOffset val="100"/>
        <c:noMultiLvlLbl val="0"/>
      </c:catAx>
      <c:valAx>
        <c:axId val="34273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layout>
        <c:manualLayout>
          <c:xMode val="edge"/>
          <c:yMode val="edge"/>
          <c:x val="0.19365873034416692"/>
          <c:y val="4.2167695473251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Dashboard!$B$24:$B$28</c:f>
              <c:strCache>
                <c:ptCount val="5"/>
                <c:pt idx="0">
                  <c:v>18-25 years</c:v>
                </c:pt>
                <c:pt idx="1">
                  <c:v>26-35 years</c:v>
                </c:pt>
                <c:pt idx="2">
                  <c:v>36-45 years</c:v>
                </c:pt>
                <c:pt idx="3">
                  <c:v>46-55 Years</c:v>
                </c:pt>
                <c:pt idx="4">
                  <c:v>56+ years</c:v>
                </c:pt>
              </c:strCache>
            </c:strRef>
          </c:cat>
          <c:val>
            <c:numRef>
              <c:f>Dashboard!$C$24:$C$28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3392616"/>
        <c:axId val="344501512"/>
      </c:barChart>
      <c:catAx>
        <c:axId val="34339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01512"/>
        <c:crosses val="autoZero"/>
        <c:auto val="1"/>
        <c:lblAlgn val="ctr"/>
        <c:lblOffset val="100"/>
        <c:noMultiLvlLbl val="0"/>
      </c:catAx>
      <c:valAx>
        <c:axId val="34450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9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Dashboard!$I$7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Dashboard!$H$8:$H$10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Dashboard!$I$8:$I$10</c:f>
              <c:numCache>
                <c:formatCode>0.00%</c:formatCode>
                <c:ptCount val="3"/>
                <c:pt idx="0">
                  <c:v>0.08</c:v>
                </c:pt>
                <c:pt idx="1">
                  <c:v>0.24909747292418771</c:v>
                </c:pt>
                <c:pt idx="2">
                  <c:v>0.14956855225311602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3856392"/>
        <c:axId val="343860880"/>
      </c:barChart>
      <c:catAx>
        <c:axId val="34385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60880"/>
        <c:crosses val="autoZero"/>
        <c:auto val="1"/>
        <c:lblAlgn val="ctr"/>
        <c:lblOffset val="100"/>
        <c:noMultiLvlLbl val="0"/>
      </c:catAx>
      <c:valAx>
        <c:axId val="3438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5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</a:t>
            </a:r>
            <a:r>
              <a:rPr lang="en-US" baseline="0"/>
              <a:t> Job Role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Dashboard!$C$43</c:f>
              <c:strCache>
                <c:ptCount val="1"/>
                <c:pt idx="0">
                  <c:v>Attrition Rate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Dashboard!$B$44:$B$52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Dashboard!$C$44:$C$52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0.23076923076923075</c:v>
                </c:pt>
                <c:pt idx="2">
                  <c:v>0.23938223938223938</c:v>
                </c:pt>
                <c:pt idx="3">
                  <c:v>4.9019607843137261E-2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0.15824915824915825</c:v>
                </c:pt>
                <c:pt idx="7">
                  <c:v>0.17484662576687116</c:v>
                </c:pt>
                <c:pt idx="8">
                  <c:v>0.39759036144578308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8211184"/>
        <c:axId val="298214712"/>
      </c:barChart>
      <c:catAx>
        <c:axId val="29821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14712"/>
        <c:crosses val="autoZero"/>
        <c:auto val="1"/>
        <c:lblAlgn val="ctr"/>
        <c:lblOffset val="100"/>
        <c:noMultiLvlLbl val="0"/>
      </c:catAx>
      <c:valAx>
        <c:axId val="29821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1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 Worklife Balance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Dashboard!$I$23</c:f>
              <c:strCache>
                <c:ptCount val="1"/>
                <c:pt idx="0">
                  <c:v>Attrition Rate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Dashboard!$I$24:$I$27</c:f>
              <c:numCache>
                <c:formatCode>0.00%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8212752"/>
        <c:axId val="298213536"/>
      </c:barChart>
      <c:catAx>
        <c:axId val="29821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13536"/>
        <c:crosses val="autoZero"/>
        <c:auto val="1"/>
        <c:lblAlgn val="ctr"/>
        <c:lblOffset val="100"/>
        <c:noMultiLvlLbl val="0"/>
      </c:catAx>
      <c:valAx>
        <c:axId val="2982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1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Rate BY Tenure People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Dashboard!$F$23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Dashboard!$E$24:$E$29</c:f>
              <c:strCache>
                <c:ptCount val="6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11-15 Years</c:v>
                </c:pt>
                <c:pt idx="4">
                  <c:v>16-20 Years</c:v>
                </c:pt>
                <c:pt idx="5">
                  <c:v>21+ years</c:v>
                </c:pt>
              </c:strCache>
            </c:strRef>
          </c:cat>
          <c:val>
            <c:numRef>
              <c:f>Dashboard!$F$24:$F$29</c:f>
              <c:numCache>
                <c:formatCode>0.00%</c:formatCode>
                <c:ptCount val="6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6.4814814814814811E-2</c:v>
                </c:pt>
                <c:pt idx="4">
                  <c:v>6.9400000000000003E-2</c:v>
                </c:pt>
                <c:pt idx="5">
                  <c:v>0.1212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8214320"/>
        <c:axId val="344547032"/>
      </c:barChart>
      <c:catAx>
        <c:axId val="2982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47032"/>
        <c:crosses val="autoZero"/>
        <c:auto val="1"/>
        <c:lblAlgn val="ctr"/>
        <c:lblOffset val="100"/>
        <c:noMultiLvlLbl val="0"/>
      </c:catAx>
      <c:valAx>
        <c:axId val="34454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1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12</xdr:row>
      <xdr:rowOff>42861</xdr:rowOff>
    </xdr:from>
    <xdr:to>
      <xdr:col>3</xdr:col>
      <xdr:colOff>197325</xdr:colOff>
      <xdr:row>20</xdr:row>
      <xdr:rowOff>174861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1457324</xdr:colOff>
      <xdr:row>12</xdr:row>
      <xdr:rowOff>28575</xdr:rowOff>
    </xdr:from>
    <xdr:to>
      <xdr:col>6</xdr:col>
      <xdr:colOff>516824</xdr:colOff>
      <xdr:row>20</xdr:row>
      <xdr:rowOff>124575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609601</xdr:colOff>
      <xdr:row>30</xdr:row>
      <xdr:rowOff>4761</xdr:rowOff>
    </xdr:from>
    <xdr:to>
      <xdr:col>3</xdr:col>
      <xdr:colOff>57151</xdr:colOff>
      <xdr:row>40</xdr:row>
      <xdr:rowOff>43761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12</xdr:row>
      <xdr:rowOff>19051</xdr:rowOff>
    </xdr:from>
    <xdr:to>
      <xdr:col>9</xdr:col>
      <xdr:colOff>227850</xdr:colOff>
      <xdr:row>20</xdr:row>
      <xdr:rowOff>43051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542364</xdr:colOff>
      <xdr:row>52</xdr:row>
      <xdr:rowOff>171170</xdr:rowOff>
    </xdr:from>
    <xdr:to>
      <xdr:col>3</xdr:col>
      <xdr:colOff>580464</xdr:colOff>
      <xdr:row>66</xdr:row>
      <xdr:rowOff>109258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19049</xdr:colOff>
      <xdr:row>29</xdr:row>
      <xdr:rowOff>176212</xdr:rowOff>
    </xdr:from>
    <xdr:to>
      <xdr:col>9</xdr:col>
      <xdr:colOff>263849</xdr:colOff>
      <xdr:row>40</xdr:row>
      <xdr:rowOff>60712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29</xdr:row>
      <xdr:rowOff>161925</xdr:rowOff>
    </xdr:from>
    <xdr:to>
      <xdr:col>6</xdr:col>
      <xdr:colOff>526350</xdr:colOff>
      <xdr:row>40</xdr:row>
      <xdr:rowOff>10425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5.823286689818" createdVersion="5" refreshedVersion="5" minRefreshableVersion="3" recordCount="1470">
  <cacheSource type="worksheet">
    <worksheetSource ref="A1:AL1471" sheet="WA_Fn-UseC_-HR-Employee-Attriti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Duplicate_check" numFmtId="0">
      <sharedItems containsSemiMixedTypes="0" containsString="0" containsNumber="1" containsInteger="1" minValue="1" maxValue="1"/>
    </cacheField>
    <cacheField name="Test_key" numFmtId="0">
      <sharedItems containsBlank="1"/>
    </cacheField>
    <cacheField name="key_coun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96.600929282409" createdVersion="5" refreshedVersion="5" minRefreshableVersion="3" recordCount="1470">
  <cacheSource type="worksheet">
    <worksheetSource ref="A1:AM1471" sheet="WA_Fn-UseC_-HR-Employee-Attriti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  <cacheField name="Duplicate_check" numFmtId="0">
      <sharedItems containsSemiMixedTypes="0" containsString="0" containsNumber="1" containsInteger="1" minValue="1" maxValue="1"/>
    </cacheField>
    <cacheField name="Test_key" numFmtId="0">
      <sharedItems containsBlank="1"/>
    </cacheField>
    <cacheField name="key_count" numFmtId="0">
      <sharedItems containsString="0" containsBlank="1" containsNumber="1" containsInteger="1" minValue="0" maxValue="0"/>
    </cacheField>
    <cacheField name="Tenure_groups" numFmtId="0">
      <sharedItems count="6">
        <s v="6-10 Years"/>
        <s v="0-2 Years"/>
        <s v="3-5 Years"/>
        <s v="21+ Years"/>
        <s v="11-15 Years"/>
        <s v="16-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96.848550115741" createdVersion="5" refreshedVersion="5" minRefreshableVersion="3" recordCount="1470">
  <cacheSource type="worksheet">
    <worksheetSource ref="A1:AN1471" sheet="WA_Fn-UseC_-HR-Employee-Attriti"/>
  </cacheSource>
  <cacheFields count="40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Duplicate_check" numFmtId="0">
      <sharedItems containsSemiMixedTypes="0" containsString="0" containsNumber="1" containsInteger="1" minValue="1" maxValue="1"/>
    </cacheField>
    <cacheField name="Test_key" numFmtId="0">
      <sharedItems containsBlank="1"/>
    </cacheField>
    <cacheField name="key_count" numFmtId="0">
      <sharedItems containsString="0" containsBlank="1" containsNumber="1" containsInteger="1" minValue="0" maxValue="0"/>
    </cacheField>
    <cacheField name="Tenure_groups" numFmtId="0">
      <sharedItems/>
    </cacheField>
    <cacheField name="Tenure_people" numFmtId="0">
      <sharedItems count="4">
        <s v="0-2 Years"/>
        <s v="3-5 Years"/>
        <s v="6-10 Years"/>
        <s v="11-15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er" refreshedDate="46296.915249537036" createdVersion="5" refreshedVersion="5" minRefreshableVersion="3" recordCount="1470">
  <cacheSource type="worksheet">
    <worksheetSource ref="A1:AO1471" sheet="WA_Fn-UseC_-HR-Employee-Attriti"/>
  </cacheSource>
  <cacheFields count="4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Duplicate_check" numFmtId="0">
      <sharedItems containsSemiMixedTypes="0" containsString="0" containsNumber="1" containsInteger="1" minValue="1" maxValue="1"/>
    </cacheField>
    <cacheField name="Test_key" numFmtId="0">
      <sharedItems containsBlank="1"/>
    </cacheField>
    <cacheField name="key_count" numFmtId="0">
      <sharedItems containsString="0" containsBlank="1" containsNumber="1" containsInteger="1" minValue="0" maxValue="0"/>
    </cacheField>
    <cacheField name="Tenure_groups" numFmtId="0">
      <sharedItems/>
    </cacheField>
    <cacheField name="Tenure_people" numFmtId="0">
      <sharedItems/>
    </cacheField>
    <cacheField name="Age_group" numFmtId="0">
      <sharedItems count="5">
        <s v="36-45 years"/>
        <s v="46-55 Years"/>
        <s v="26-35 years"/>
        <s v="56+ years"/>
        <s v="18-25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x v="0"/>
    <n v="4"/>
    <n v="0"/>
    <n v="5"/>
    <n v="1"/>
    <s v="41_Sales_Sales Executive"/>
    <n v="0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x v="1"/>
    <n v="7"/>
    <n v="1"/>
    <n v="7"/>
    <n v="1"/>
    <m/>
    <m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x v="2"/>
    <n v="0"/>
    <n v="0"/>
    <n v="0"/>
    <n v="1"/>
    <m/>
    <m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x v="3"/>
    <n v="7"/>
    <n v="3"/>
    <n v="0"/>
    <n v="1"/>
    <m/>
    <m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x v="4"/>
    <n v="2"/>
    <n v="2"/>
    <n v="2"/>
    <n v="1"/>
    <m/>
    <m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x v="5"/>
    <n v="7"/>
    <n v="3"/>
    <n v="6"/>
    <n v="1"/>
    <m/>
    <m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x v="6"/>
    <n v="0"/>
    <n v="0"/>
    <n v="0"/>
    <n v="1"/>
    <m/>
    <m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x v="6"/>
    <n v="0"/>
    <n v="0"/>
    <n v="0"/>
    <n v="1"/>
    <m/>
    <m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x v="7"/>
    <n v="7"/>
    <n v="1"/>
    <n v="8"/>
    <n v="1"/>
    <m/>
    <m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x v="5"/>
    <n v="7"/>
    <n v="7"/>
    <n v="7"/>
    <n v="1"/>
    <m/>
    <m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x v="8"/>
    <n v="4"/>
    <n v="0"/>
    <n v="3"/>
    <n v="1"/>
    <m/>
    <m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x v="7"/>
    <n v="5"/>
    <n v="0"/>
    <n v="8"/>
    <n v="1"/>
    <m/>
    <m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x v="8"/>
    <n v="2"/>
    <n v="4"/>
    <n v="3"/>
    <n v="1"/>
    <m/>
    <m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x v="4"/>
    <n v="2"/>
    <n v="1"/>
    <n v="2"/>
    <n v="1"/>
    <m/>
    <m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x v="9"/>
    <n v="2"/>
    <n v="0"/>
    <n v="3"/>
    <n v="1"/>
    <m/>
    <m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x v="1"/>
    <n v="9"/>
    <n v="8"/>
    <n v="8"/>
    <n v="1"/>
    <m/>
    <m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x v="0"/>
    <n v="2"/>
    <n v="0"/>
    <n v="5"/>
    <n v="1"/>
    <m/>
    <m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x v="6"/>
    <n v="0"/>
    <n v="0"/>
    <n v="0"/>
    <n v="1"/>
    <m/>
    <m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x v="10"/>
    <n v="8"/>
    <n v="3"/>
    <n v="7"/>
    <n v="1"/>
    <m/>
    <m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x v="11"/>
    <n v="2"/>
    <n v="1"/>
    <n v="2"/>
    <n v="1"/>
    <m/>
    <m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x v="9"/>
    <n v="2"/>
    <n v="1"/>
    <n v="3"/>
    <n v="1"/>
    <m/>
    <m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x v="8"/>
    <n v="3"/>
    <n v="0"/>
    <n v="3"/>
    <n v="1"/>
    <m/>
    <m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x v="12"/>
    <n v="6"/>
    <n v="2"/>
    <n v="11"/>
    <n v="1"/>
    <m/>
    <m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x v="2"/>
    <n v="0"/>
    <n v="0"/>
    <n v="0"/>
    <n v="1"/>
    <m/>
    <m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x v="9"/>
    <n v="2"/>
    <n v="1"/>
    <n v="3"/>
    <n v="1"/>
    <m/>
    <m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x v="13"/>
    <n v="13"/>
    <n v="4"/>
    <n v="8"/>
    <n v="1"/>
    <m/>
    <m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x v="1"/>
    <n v="2"/>
    <n v="6"/>
    <n v="7"/>
    <n v="1"/>
    <m/>
    <m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x v="7"/>
    <n v="7"/>
    <n v="4"/>
    <n v="2"/>
    <n v="1"/>
    <m/>
    <m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x v="14"/>
    <n v="6"/>
    <n v="5"/>
    <n v="17"/>
    <n v="1"/>
    <m/>
    <m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x v="4"/>
    <n v="2"/>
    <n v="2"/>
    <n v="1"/>
    <n v="1"/>
    <m/>
    <m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x v="6"/>
    <n v="1"/>
    <n v="0"/>
    <n v="0"/>
    <n v="1"/>
    <m/>
    <m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x v="9"/>
    <n v="2"/>
    <n v="1"/>
    <n v="3"/>
    <n v="1"/>
    <m/>
    <m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x v="1"/>
    <n v="0"/>
    <n v="1"/>
    <n v="8"/>
    <n v="1"/>
    <m/>
    <m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x v="6"/>
    <n v="0"/>
    <n v="0"/>
    <n v="0"/>
    <n v="1"/>
    <m/>
    <m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x v="4"/>
    <n v="0"/>
    <n v="2"/>
    <n v="0"/>
    <n v="1"/>
    <m/>
    <m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x v="8"/>
    <n v="3"/>
    <n v="1"/>
    <n v="4"/>
    <n v="1"/>
    <m/>
    <m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x v="11"/>
    <n v="2"/>
    <n v="0"/>
    <n v="2"/>
    <n v="1"/>
    <m/>
    <m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x v="4"/>
    <n v="2"/>
    <n v="2"/>
    <n v="2"/>
    <n v="1"/>
    <m/>
    <m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x v="6"/>
    <n v="1"/>
    <n v="0"/>
    <n v="0"/>
    <n v="1"/>
    <m/>
    <m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x v="8"/>
    <n v="3"/>
    <n v="1"/>
    <n v="3"/>
    <n v="1"/>
    <m/>
    <m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x v="6"/>
    <n v="0"/>
    <n v="0"/>
    <n v="0"/>
    <n v="1"/>
    <m/>
    <m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x v="6"/>
    <n v="0"/>
    <n v="0"/>
    <n v="0"/>
    <n v="1"/>
    <m/>
    <m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x v="6"/>
    <n v="0"/>
    <n v="0"/>
    <n v="1"/>
    <n v="1"/>
    <m/>
    <m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x v="7"/>
    <n v="8"/>
    <n v="1"/>
    <n v="7"/>
    <n v="1"/>
    <m/>
    <m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x v="12"/>
    <n v="8"/>
    <n v="3"/>
    <n v="7"/>
    <n v="1"/>
    <m/>
    <m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x v="14"/>
    <n v="15"/>
    <n v="15"/>
    <n v="8"/>
    <n v="1"/>
    <m/>
    <m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x v="7"/>
    <n v="5"/>
    <n v="8"/>
    <n v="7"/>
    <n v="1"/>
    <m/>
    <m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x v="6"/>
    <n v="0"/>
    <n v="0"/>
    <n v="0"/>
    <n v="1"/>
    <m/>
    <m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x v="7"/>
    <n v="6"/>
    <n v="0"/>
    <n v="8"/>
    <n v="1"/>
    <m/>
    <m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x v="6"/>
    <n v="0"/>
    <n v="0"/>
    <n v="1"/>
    <n v="1"/>
    <m/>
    <m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x v="6"/>
    <n v="0"/>
    <n v="0"/>
    <n v="0"/>
    <n v="1"/>
    <m/>
    <m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x v="4"/>
    <n v="2"/>
    <n v="2"/>
    <n v="2"/>
    <n v="1"/>
    <m/>
    <m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x v="9"/>
    <n v="3"/>
    <n v="1"/>
    <n v="3"/>
    <n v="1"/>
    <m/>
    <m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x v="9"/>
    <n v="0"/>
    <n v="2"/>
    <n v="3"/>
    <n v="1"/>
    <m/>
    <m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x v="4"/>
    <n v="2"/>
    <n v="0"/>
    <n v="0"/>
    <n v="1"/>
    <m/>
    <m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x v="15"/>
    <n v="14"/>
    <n v="8"/>
    <n v="12"/>
    <n v="1"/>
    <m/>
    <m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x v="7"/>
    <n v="8"/>
    <n v="1"/>
    <n v="8"/>
    <n v="1"/>
    <m/>
    <m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x v="4"/>
    <n v="2"/>
    <n v="2"/>
    <n v="2"/>
    <n v="1"/>
    <m/>
    <m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x v="5"/>
    <n v="7"/>
    <n v="1"/>
    <n v="7"/>
    <n v="1"/>
    <m/>
    <m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x v="5"/>
    <n v="5"/>
    <n v="0"/>
    <n v="7"/>
    <n v="1"/>
    <m/>
    <m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x v="7"/>
    <n v="8"/>
    <n v="7"/>
    <n v="8"/>
    <n v="1"/>
    <m/>
    <m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x v="1"/>
    <n v="3"/>
    <n v="9"/>
    <n v="9"/>
    <n v="1"/>
    <m/>
    <m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x v="16"/>
    <n v="3"/>
    <n v="13"/>
    <n v="8"/>
    <n v="1"/>
    <m/>
    <m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x v="17"/>
    <n v="16"/>
    <n v="7"/>
    <n v="9"/>
    <n v="1"/>
    <m/>
    <m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x v="18"/>
    <n v="14"/>
    <n v="12"/>
    <n v="8"/>
    <n v="1"/>
    <m/>
    <m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x v="8"/>
    <n v="0"/>
    <n v="0"/>
    <n v="2"/>
    <n v="1"/>
    <m/>
    <m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x v="0"/>
    <n v="5"/>
    <n v="0"/>
    <n v="3"/>
    <n v="1"/>
    <m/>
    <m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x v="6"/>
    <n v="0"/>
    <n v="0"/>
    <n v="0"/>
    <n v="1"/>
    <m/>
    <m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x v="11"/>
    <n v="2"/>
    <n v="1"/>
    <n v="2"/>
    <n v="1"/>
    <m/>
    <m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x v="6"/>
    <n v="0"/>
    <n v="0"/>
    <n v="0"/>
    <n v="1"/>
    <m/>
    <m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x v="9"/>
    <n v="3"/>
    <n v="1"/>
    <n v="3"/>
    <n v="1"/>
    <m/>
    <m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x v="8"/>
    <n v="4"/>
    <n v="0"/>
    <n v="4"/>
    <n v="1"/>
    <m/>
    <m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x v="6"/>
    <n v="1"/>
    <n v="1"/>
    <n v="0"/>
    <n v="1"/>
    <m/>
    <m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x v="1"/>
    <n v="4"/>
    <n v="0"/>
    <n v="9"/>
    <n v="1"/>
    <m/>
    <m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x v="6"/>
    <n v="0"/>
    <n v="0"/>
    <n v="0"/>
    <n v="1"/>
    <m/>
    <m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x v="19"/>
    <n v="7"/>
    <n v="1"/>
    <n v="8"/>
    <n v="1"/>
    <m/>
    <m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x v="15"/>
    <n v="13"/>
    <n v="2"/>
    <n v="8"/>
    <n v="1"/>
    <m/>
    <m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x v="2"/>
    <n v="0"/>
    <n v="0"/>
    <n v="0"/>
    <n v="1"/>
    <m/>
    <m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x v="8"/>
    <n v="2"/>
    <n v="0"/>
    <n v="2"/>
    <n v="1"/>
    <m/>
    <m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x v="9"/>
    <n v="2"/>
    <n v="0"/>
    <n v="2"/>
    <n v="1"/>
    <m/>
    <m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x v="1"/>
    <n v="8"/>
    <n v="3"/>
    <n v="0"/>
    <n v="1"/>
    <m/>
    <m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x v="0"/>
    <n v="4"/>
    <n v="0"/>
    <n v="4"/>
    <n v="1"/>
    <m/>
    <m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x v="6"/>
    <n v="0"/>
    <n v="1"/>
    <n v="0"/>
    <n v="1"/>
    <m/>
    <m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x v="20"/>
    <n v="11"/>
    <n v="1"/>
    <n v="9"/>
    <n v="1"/>
    <m/>
    <m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x v="8"/>
    <n v="2"/>
    <n v="1"/>
    <n v="3"/>
    <n v="1"/>
    <m/>
    <m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x v="0"/>
    <n v="4"/>
    <n v="0"/>
    <n v="2"/>
    <n v="1"/>
    <m/>
    <m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x v="2"/>
    <n v="0"/>
    <n v="0"/>
    <n v="0"/>
    <n v="1"/>
    <m/>
    <m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x v="9"/>
    <n v="2"/>
    <n v="0"/>
    <n v="3"/>
    <n v="1"/>
    <m/>
    <m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x v="19"/>
    <n v="10"/>
    <n v="10"/>
    <n v="8"/>
    <n v="1"/>
    <m/>
    <m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x v="7"/>
    <n v="8"/>
    <n v="4"/>
    <n v="7"/>
    <n v="1"/>
    <m/>
    <m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x v="14"/>
    <n v="3"/>
    <n v="11"/>
    <n v="11"/>
    <n v="1"/>
    <m/>
    <m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x v="1"/>
    <n v="7"/>
    <n v="1"/>
    <n v="0"/>
    <n v="1"/>
    <m/>
    <m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x v="19"/>
    <n v="8"/>
    <n v="2"/>
    <n v="7"/>
    <n v="1"/>
    <m/>
    <m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x v="1"/>
    <n v="9"/>
    <n v="9"/>
    <n v="5"/>
    <n v="1"/>
    <m/>
    <m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x v="19"/>
    <n v="8"/>
    <n v="5"/>
    <n v="7"/>
    <n v="1"/>
    <m/>
    <m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x v="9"/>
    <n v="3"/>
    <n v="0"/>
    <n v="3"/>
    <n v="1"/>
    <m/>
    <m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x v="11"/>
    <n v="2"/>
    <n v="0"/>
    <n v="2"/>
    <n v="1"/>
    <m/>
    <m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x v="8"/>
    <n v="4"/>
    <n v="0"/>
    <n v="4"/>
    <n v="1"/>
    <m/>
    <m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x v="21"/>
    <n v="10"/>
    <n v="1"/>
    <n v="8"/>
    <n v="1"/>
    <m/>
    <m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x v="11"/>
    <n v="2"/>
    <n v="1"/>
    <n v="2"/>
    <n v="1"/>
    <m/>
    <m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x v="11"/>
    <n v="2"/>
    <n v="0"/>
    <n v="2"/>
    <n v="1"/>
    <m/>
    <m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x v="6"/>
    <n v="0"/>
    <n v="0"/>
    <n v="0"/>
    <n v="1"/>
    <m/>
    <m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x v="6"/>
    <n v="0"/>
    <n v="1"/>
    <n v="0"/>
    <n v="1"/>
    <m/>
    <m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x v="22"/>
    <n v="13"/>
    <n v="2"/>
    <n v="10"/>
    <n v="1"/>
    <m/>
    <m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x v="6"/>
    <n v="0"/>
    <n v="0"/>
    <n v="0"/>
    <n v="1"/>
    <m/>
    <m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x v="11"/>
    <n v="2"/>
    <n v="2"/>
    <n v="2"/>
    <n v="1"/>
    <m/>
    <m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x v="3"/>
    <n v="3"/>
    <n v="0"/>
    <n v="7"/>
    <n v="1"/>
    <m/>
    <m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x v="0"/>
    <n v="4"/>
    <n v="0"/>
    <n v="3"/>
    <n v="1"/>
    <m/>
    <m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x v="4"/>
    <n v="2"/>
    <n v="2"/>
    <n v="1"/>
    <n v="1"/>
    <m/>
    <m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x v="2"/>
    <n v="0"/>
    <n v="0"/>
    <n v="0"/>
    <n v="1"/>
    <m/>
    <m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x v="20"/>
    <n v="12"/>
    <n v="12"/>
    <n v="8"/>
    <n v="1"/>
    <m/>
    <m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x v="7"/>
    <n v="7"/>
    <n v="0"/>
    <n v="6"/>
    <n v="1"/>
    <m/>
    <m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x v="8"/>
    <n v="3"/>
    <n v="4"/>
    <n v="4"/>
    <n v="1"/>
    <m/>
    <m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x v="8"/>
    <n v="3"/>
    <n v="1"/>
    <n v="2"/>
    <n v="1"/>
    <m/>
    <m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x v="6"/>
    <n v="0"/>
    <n v="0"/>
    <n v="0"/>
    <n v="1"/>
    <m/>
    <m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x v="8"/>
    <n v="3"/>
    <n v="1"/>
    <n v="3"/>
    <n v="1"/>
    <m/>
    <m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x v="19"/>
    <n v="10"/>
    <n v="5"/>
    <n v="8"/>
    <n v="1"/>
    <m/>
    <m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x v="7"/>
    <n v="7"/>
    <n v="2"/>
    <n v="8"/>
    <n v="1"/>
    <m/>
    <m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x v="6"/>
    <n v="0"/>
    <n v="0"/>
    <n v="0"/>
    <n v="1"/>
    <m/>
    <m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x v="10"/>
    <n v="12"/>
    <n v="4"/>
    <n v="12"/>
    <n v="1"/>
    <m/>
    <m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x v="1"/>
    <n v="7"/>
    <n v="0"/>
    <n v="9"/>
    <n v="1"/>
    <m/>
    <m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x v="5"/>
    <n v="7"/>
    <n v="0"/>
    <n v="7"/>
    <n v="1"/>
    <m/>
    <m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x v="8"/>
    <n v="4"/>
    <n v="4"/>
    <n v="3"/>
    <n v="1"/>
    <m/>
    <m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x v="23"/>
    <n v="18"/>
    <n v="15"/>
    <n v="15"/>
    <n v="1"/>
    <m/>
    <m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x v="5"/>
    <n v="7"/>
    <n v="7"/>
    <n v="7"/>
    <n v="1"/>
    <m/>
    <m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x v="8"/>
    <n v="4"/>
    <n v="4"/>
    <n v="3"/>
    <n v="1"/>
    <m/>
    <m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x v="24"/>
    <n v="10"/>
    <n v="15"/>
    <n v="6"/>
    <n v="1"/>
    <m/>
    <m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x v="2"/>
    <n v="0"/>
    <n v="0"/>
    <n v="0"/>
    <n v="1"/>
    <m/>
    <m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x v="4"/>
    <n v="1"/>
    <n v="2"/>
    <n v="1"/>
    <n v="1"/>
    <m/>
    <m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x v="15"/>
    <n v="11"/>
    <n v="5"/>
    <n v="11"/>
    <n v="1"/>
    <m/>
    <m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x v="11"/>
    <n v="2"/>
    <n v="1"/>
    <n v="2"/>
    <n v="1"/>
    <m/>
    <m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x v="4"/>
    <n v="2"/>
    <n v="2"/>
    <n v="1"/>
    <n v="1"/>
    <m/>
    <m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x v="4"/>
    <n v="2"/>
    <n v="2"/>
    <n v="2"/>
    <n v="1"/>
    <m/>
    <m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x v="7"/>
    <n v="7"/>
    <n v="0"/>
    <n v="7"/>
    <n v="1"/>
    <m/>
    <m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x v="3"/>
    <n v="7"/>
    <n v="5"/>
    <n v="7"/>
    <n v="1"/>
    <m/>
    <m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x v="11"/>
    <n v="2"/>
    <n v="0"/>
    <n v="1"/>
    <n v="1"/>
    <m/>
    <m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x v="9"/>
    <n v="2"/>
    <n v="0"/>
    <n v="3"/>
    <n v="1"/>
    <m/>
    <m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x v="15"/>
    <n v="11"/>
    <n v="5"/>
    <n v="9"/>
    <n v="1"/>
    <m/>
    <m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x v="4"/>
    <n v="2"/>
    <n v="2"/>
    <n v="2"/>
    <n v="1"/>
    <m/>
    <m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x v="19"/>
    <n v="9"/>
    <n v="4"/>
    <n v="7"/>
    <n v="1"/>
    <m/>
    <m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x v="8"/>
    <n v="4"/>
    <n v="0"/>
    <n v="4"/>
    <n v="1"/>
    <m/>
    <m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x v="0"/>
    <n v="5"/>
    <n v="0"/>
    <n v="3"/>
    <n v="1"/>
    <m/>
    <m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x v="11"/>
    <n v="2"/>
    <n v="2"/>
    <n v="2"/>
    <n v="1"/>
    <m/>
    <m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x v="8"/>
    <n v="4"/>
    <n v="0"/>
    <n v="4"/>
    <n v="1"/>
    <m/>
    <m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x v="3"/>
    <n v="7"/>
    <n v="0"/>
    <n v="7"/>
    <n v="1"/>
    <m/>
    <m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x v="11"/>
    <n v="2"/>
    <n v="2"/>
    <n v="2"/>
    <n v="1"/>
    <m/>
    <m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x v="8"/>
    <n v="3"/>
    <n v="1"/>
    <n v="2"/>
    <n v="1"/>
    <m/>
    <m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x v="5"/>
    <n v="6"/>
    <n v="7"/>
    <n v="7"/>
    <n v="1"/>
    <m/>
    <m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x v="8"/>
    <n v="0"/>
    <n v="1"/>
    <n v="4"/>
    <n v="1"/>
    <m/>
    <m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x v="6"/>
    <n v="0"/>
    <n v="0"/>
    <n v="0"/>
    <n v="1"/>
    <m/>
    <m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x v="23"/>
    <n v="7"/>
    <n v="2"/>
    <n v="13"/>
    <n v="1"/>
    <m/>
    <m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x v="1"/>
    <n v="8"/>
    <n v="0"/>
    <n v="6"/>
    <n v="1"/>
    <m/>
    <m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x v="5"/>
    <n v="7"/>
    <n v="4"/>
    <n v="5"/>
    <n v="1"/>
    <m/>
    <m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x v="18"/>
    <n v="9"/>
    <n v="0"/>
    <n v="15"/>
    <n v="1"/>
    <m/>
    <m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x v="7"/>
    <n v="8"/>
    <n v="3"/>
    <n v="7"/>
    <n v="1"/>
    <m/>
    <m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x v="1"/>
    <n v="7"/>
    <n v="0"/>
    <n v="9"/>
    <n v="1"/>
    <m/>
    <m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x v="6"/>
    <n v="0"/>
    <n v="0"/>
    <n v="0"/>
    <n v="1"/>
    <m/>
    <m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x v="6"/>
    <n v="0"/>
    <n v="0"/>
    <n v="0"/>
    <n v="1"/>
    <m/>
    <m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x v="12"/>
    <n v="11"/>
    <n v="2"/>
    <n v="11"/>
    <n v="1"/>
    <m/>
    <m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x v="9"/>
    <n v="3"/>
    <n v="1"/>
    <n v="2"/>
    <n v="1"/>
    <m/>
    <m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x v="4"/>
    <n v="2"/>
    <n v="2"/>
    <n v="2"/>
    <n v="1"/>
    <m/>
    <m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x v="4"/>
    <n v="2"/>
    <n v="2"/>
    <n v="2"/>
    <n v="1"/>
    <m/>
    <m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x v="8"/>
    <n v="2"/>
    <n v="0"/>
    <n v="2"/>
    <n v="1"/>
    <m/>
    <m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x v="8"/>
    <n v="3"/>
    <n v="1"/>
    <n v="4"/>
    <n v="1"/>
    <m/>
    <m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x v="6"/>
    <n v="1"/>
    <n v="0"/>
    <n v="1"/>
    <n v="1"/>
    <m/>
    <m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x v="8"/>
    <n v="4"/>
    <n v="4"/>
    <n v="4"/>
    <n v="1"/>
    <m/>
    <m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x v="7"/>
    <n v="8"/>
    <n v="1"/>
    <n v="8"/>
    <n v="1"/>
    <m/>
    <m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x v="1"/>
    <n v="9"/>
    <n v="7"/>
    <n v="4"/>
    <n v="1"/>
    <m/>
    <m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x v="3"/>
    <n v="3"/>
    <n v="0"/>
    <n v="7"/>
    <n v="1"/>
    <m/>
    <m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x v="8"/>
    <n v="4"/>
    <n v="1"/>
    <n v="4"/>
    <n v="1"/>
    <m/>
    <m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x v="8"/>
    <n v="2"/>
    <n v="1"/>
    <n v="1"/>
    <n v="1"/>
    <m/>
    <m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x v="2"/>
    <n v="0"/>
    <n v="0"/>
    <n v="0"/>
    <n v="1"/>
    <m/>
    <m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x v="3"/>
    <n v="7"/>
    <n v="7"/>
    <n v="2"/>
    <n v="1"/>
    <m/>
    <m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x v="12"/>
    <n v="9"/>
    <n v="6"/>
    <n v="10"/>
    <n v="1"/>
    <m/>
    <m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x v="8"/>
    <n v="4"/>
    <n v="0"/>
    <n v="3"/>
    <n v="1"/>
    <m/>
    <m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x v="4"/>
    <n v="2"/>
    <n v="2"/>
    <n v="2"/>
    <n v="1"/>
    <m/>
    <m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x v="11"/>
    <n v="1"/>
    <n v="0"/>
    <n v="2"/>
    <n v="1"/>
    <m/>
    <m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x v="6"/>
    <n v="0"/>
    <n v="1"/>
    <n v="0"/>
    <n v="1"/>
    <m/>
    <m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x v="25"/>
    <n v="13"/>
    <n v="15"/>
    <n v="7"/>
    <n v="1"/>
    <m/>
    <m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x v="4"/>
    <n v="2"/>
    <n v="2"/>
    <n v="1"/>
    <n v="1"/>
    <m/>
    <m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x v="9"/>
    <n v="2"/>
    <n v="0"/>
    <n v="2"/>
    <n v="1"/>
    <m/>
    <m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x v="11"/>
    <n v="2"/>
    <n v="1"/>
    <n v="2"/>
    <n v="1"/>
    <m/>
    <m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x v="9"/>
    <n v="3"/>
    <n v="0"/>
    <n v="2"/>
    <n v="1"/>
    <m/>
    <m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x v="11"/>
    <n v="2"/>
    <n v="0"/>
    <n v="2"/>
    <n v="1"/>
    <m/>
    <m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x v="9"/>
    <n v="2"/>
    <n v="1"/>
    <n v="3"/>
    <n v="1"/>
    <m/>
    <m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x v="3"/>
    <n v="7"/>
    <n v="1"/>
    <n v="6"/>
    <n v="1"/>
    <m/>
    <m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x v="23"/>
    <n v="8"/>
    <n v="9"/>
    <n v="9"/>
    <n v="1"/>
    <m/>
    <m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x v="25"/>
    <n v="15"/>
    <n v="2"/>
    <n v="15"/>
    <n v="1"/>
    <m/>
    <m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x v="1"/>
    <n v="9"/>
    <n v="1"/>
    <n v="9"/>
    <n v="1"/>
    <m/>
    <m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x v="5"/>
    <n v="7"/>
    <n v="1"/>
    <n v="0"/>
    <n v="1"/>
    <m/>
    <m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x v="26"/>
    <n v="18"/>
    <n v="11"/>
    <n v="9"/>
    <n v="1"/>
    <m/>
    <m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x v="5"/>
    <n v="7"/>
    <n v="0"/>
    <n v="3"/>
    <n v="1"/>
    <m/>
    <m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x v="6"/>
    <n v="0"/>
    <n v="0"/>
    <n v="1"/>
    <n v="1"/>
    <m/>
    <m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x v="8"/>
    <n v="4"/>
    <n v="2"/>
    <n v="2"/>
    <n v="1"/>
    <m/>
    <m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x v="23"/>
    <n v="8"/>
    <n v="11"/>
    <n v="8"/>
    <n v="1"/>
    <m/>
    <m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x v="3"/>
    <n v="7"/>
    <n v="1"/>
    <n v="7"/>
    <n v="1"/>
    <m/>
    <m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x v="0"/>
    <n v="2"/>
    <n v="1"/>
    <n v="2"/>
    <n v="1"/>
    <m/>
    <m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x v="8"/>
    <n v="3"/>
    <n v="0"/>
    <n v="2"/>
    <n v="1"/>
    <m/>
    <m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x v="6"/>
    <n v="0"/>
    <n v="0"/>
    <n v="0"/>
    <n v="1"/>
    <m/>
    <m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x v="5"/>
    <n v="7"/>
    <n v="1"/>
    <n v="7"/>
    <n v="1"/>
    <m/>
    <m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x v="4"/>
    <n v="2"/>
    <n v="2"/>
    <n v="0"/>
    <n v="1"/>
    <m/>
    <m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x v="5"/>
    <n v="7"/>
    <n v="1"/>
    <n v="7"/>
    <n v="1"/>
    <m/>
    <m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x v="8"/>
    <n v="3"/>
    <n v="2"/>
    <n v="0"/>
    <n v="1"/>
    <m/>
    <m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x v="5"/>
    <n v="2"/>
    <n v="3"/>
    <n v="7"/>
    <n v="1"/>
    <m/>
    <m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x v="6"/>
    <n v="0"/>
    <n v="0"/>
    <n v="0"/>
    <n v="1"/>
    <m/>
    <m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x v="1"/>
    <n v="4"/>
    <n v="1"/>
    <n v="9"/>
    <n v="1"/>
    <m/>
    <m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x v="9"/>
    <n v="2"/>
    <n v="2"/>
    <n v="2"/>
    <n v="1"/>
    <m/>
    <m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x v="3"/>
    <n v="1"/>
    <n v="1"/>
    <n v="7"/>
    <n v="1"/>
    <m/>
    <m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x v="11"/>
    <n v="2"/>
    <n v="0"/>
    <n v="2"/>
    <n v="1"/>
    <m/>
    <m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x v="9"/>
    <n v="2"/>
    <n v="0"/>
    <n v="3"/>
    <n v="1"/>
    <m/>
    <m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x v="13"/>
    <n v="8"/>
    <n v="9"/>
    <n v="8"/>
    <n v="1"/>
    <m/>
    <m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x v="19"/>
    <n v="8"/>
    <n v="5"/>
    <n v="8"/>
    <n v="1"/>
    <m/>
    <m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x v="5"/>
    <n v="7"/>
    <n v="0"/>
    <n v="7"/>
    <n v="1"/>
    <m/>
    <m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x v="1"/>
    <n v="9"/>
    <n v="4"/>
    <n v="7"/>
    <n v="1"/>
    <m/>
    <m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x v="8"/>
    <n v="2"/>
    <n v="0"/>
    <n v="4"/>
    <n v="1"/>
    <m/>
    <m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x v="6"/>
    <n v="0"/>
    <n v="0"/>
    <n v="0"/>
    <n v="1"/>
    <m/>
    <m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x v="0"/>
    <n v="3"/>
    <n v="0"/>
    <n v="1"/>
    <n v="1"/>
    <m/>
    <m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x v="0"/>
    <n v="2"/>
    <n v="1"/>
    <n v="5"/>
    <n v="1"/>
    <m/>
    <m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x v="27"/>
    <n v="7"/>
    <n v="12"/>
    <n v="8"/>
    <n v="1"/>
    <m/>
    <m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x v="0"/>
    <n v="2"/>
    <n v="0"/>
    <n v="5"/>
    <n v="1"/>
    <m/>
    <m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x v="20"/>
    <n v="11"/>
    <n v="3"/>
    <n v="7"/>
    <n v="1"/>
    <m/>
    <m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x v="11"/>
    <n v="2"/>
    <n v="1"/>
    <n v="1"/>
    <n v="1"/>
    <m/>
    <m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x v="1"/>
    <n v="8"/>
    <n v="0"/>
    <n v="7"/>
    <n v="1"/>
    <m/>
    <m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x v="22"/>
    <n v="10"/>
    <n v="5"/>
    <n v="13"/>
    <n v="1"/>
    <m/>
    <m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x v="8"/>
    <n v="4"/>
    <n v="1"/>
    <n v="4"/>
    <n v="1"/>
    <m/>
    <m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x v="6"/>
    <n v="0"/>
    <n v="0"/>
    <n v="0"/>
    <n v="1"/>
    <m/>
    <m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x v="7"/>
    <n v="8"/>
    <n v="5"/>
    <n v="8"/>
    <n v="1"/>
    <m/>
    <m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x v="19"/>
    <n v="10"/>
    <n v="4"/>
    <n v="1"/>
    <n v="1"/>
    <m/>
    <m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x v="1"/>
    <n v="7"/>
    <n v="0"/>
    <n v="8"/>
    <n v="1"/>
    <m/>
    <m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x v="9"/>
    <n v="3"/>
    <n v="0"/>
    <n v="1"/>
    <n v="1"/>
    <m/>
    <m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x v="4"/>
    <n v="2"/>
    <n v="2"/>
    <n v="2"/>
    <n v="1"/>
    <m/>
    <m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x v="14"/>
    <n v="17"/>
    <n v="11"/>
    <n v="15"/>
    <n v="1"/>
    <m/>
    <m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x v="4"/>
    <n v="2"/>
    <n v="2"/>
    <n v="2"/>
    <n v="1"/>
    <m/>
    <m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x v="5"/>
    <n v="0"/>
    <n v="0"/>
    <n v="6"/>
    <n v="1"/>
    <m/>
    <m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x v="8"/>
    <n v="4"/>
    <n v="0"/>
    <n v="4"/>
    <n v="1"/>
    <m/>
    <m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x v="18"/>
    <n v="13"/>
    <n v="1"/>
    <n v="9"/>
    <n v="1"/>
    <m/>
    <m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x v="7"/>
    <n v="7"/>
    <n v="1"/>
    <n v="7"/>
    <n v="1"/>
    <m/>
    <m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x v="26"/>
    <n v="7"/>
    <n v="15"/>
    <n v="12"/>
    <n v="1"/>
    <m/>
    <m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x v="9"/>
    <n v="3"/>
    <n v="1"/>
    <n v="2"/>
    <n v="1"/>
    <m/>
    <m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x v="11"/>
    <n v="2"/>
    <n v="1"/>
    <n v="2"/>
    <n v="1"/>
    <m/>
    <m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x v="11"/>
    <n v="2"/>
    <n v="1"/>
    <n v="2"/>
    <n v="1"/>
    <m/>
    <m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x v="11"/>
    <n v="2"/>
    <n v="2"/>
    <n v="2"/>
    <n v="1"/>
    <m/>
    <m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x v="6"/>
    <n v="0"/>
    <n v="0"/>
    <n v="0"/>
    <n v="1"/>
    <m/>
    <m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x v="7"/>
    <n v="8"/>
    <n v="4"/>
    <n v="7"/>
    <n v="1"/>
    <m/>
    <m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x v="25"/>
    <n v="0"/>
    <n v="1"/>
    <n v="7"/>
    <n v="1"/>
    <m/>
    <m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x v="4"/>
    <n v="2"/>
    <n v="2"/>
    <n v="2"/>
    <n v="1"/>
    <m/>
    <m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x v="4"/>
    <n v="2"/>
    <n v="0"/>
    <n v="2"/>
    <n v="1"/>
    <m/>
    <m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x v="19"/>
    <n v="9"/>
    <n v="5"/>
    <n v="9"/>
    <n v="1"/>
    <m/>
    <m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x v="11"/>
    <n v="1"/>
    <n v="0"/>
    <n v="2"/>
    <n v="1"/>
    <m/>
    <m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x v="11"/>
    <n v="2"/>
    <n v="0"/>
    <n v="2"/>
    <n v="1"/>
    <m/>
    <m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x v="6"/>
    <n v="0"/>
    <n v="0"/>
    <n v="0"/>
    <n v="1"/>
    <m/>
    <m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x v="27"/>
    <n v="6"/>
    <n v="11"/>
    <n v="8"/>
    <n v="1"/>
    <m/>
    <m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x v="0"/>
    <n v="5"/>
    <n v="1"/>
    <n v="5"/>
    <n v="1"/>
    <m/>
    <m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x v="11"/>
    <n v="2"/>
    <n v="0"/>
    <n v="2"/>
    <n v="1"/>
    <m/>
    <m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x v="11"/>
    <n v="2"/>
    <n v="0"/>
    <n v="2"/>
    <n v="1"/>
    <m/>
    <m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x v="9"/>
    <n v="2"/>
    <n v="1"/>
    <n v="2"/>
    <n v="1"/>
    <m/>
    <m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x v="7"/>
    <n v="6"/>
    <n v="7"/>
    <n v="8"/>
    <n v="1"/>
    <m/>
    <m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x v="17"/>
    <n v="7"/>
    <n v="3"/>
    <n v="9"/>
    <n v="1"/>
    <m/>
    <m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x v="6"/>
    <n v="0"/>
    <n v="0"/>
    <n v="0"/>
    <n v="1"/>
    <m/>
    <m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x v="8"/>
    <n v="4"/>
    <n v="1"/>
    <n v="4"/>
    <n v="1"/>
    <m/>
    <m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x v="8"/>
    <n v="1"/>
    <n v="0"/>
    <n v="3"/>
    <n v="1"/>
    <m/>
    <m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x v="3"/>
    <n v="7"/>
    <n v="7"/>
    <n v="5"/>
    <n v="1"/>
    <m/>
    <m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x v="0"/>
    <n v="2"/>
    <n v="0"/>
    <n v="4"/>
    <n v="1"/>
    <m/>
    <m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x v="5"/>
    <n v="7"/>
    <n v="7"/>
    <n v="7"/>
    <n v="1"/>
    <m/>
    <m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x v="2"/>
    <n v="0"/>
    <n v="0"/>
    <n v="0"/>
    <n v="1"/>
    <m/>
    <m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x v="2"/>
    <n v="0"/>
    <n v="0"/>
    <n v="0"/>
    <n v="1"/>
    <m/>
    <m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x v="7"/>
    <n v="0"/>
    <n v="7"/>
    <n v="8"/>
    <n v="1"/>
    <m/>
    <m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x v="0"/>
    <n v="3"/>
    <n v="1"/>
    <n v="5"/>
    <n v="1"/>
    <m/>
    <m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x v="23"/>
    <n v="7"/>
    <n v="4"/>
    <n v="10"/>
    <n v="1"/>
    <m/>
    <m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x v="15"/>
    <n v="13"/>
    <n v="10"/>
    <n v="11"/>
    <n v="1"/>
    <m/>
    <m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x v="28"/>
    <n v="10"/>
    <n v="4"/>
    <n v="13"/>
    <n v="1"/>
    <m/>
    <m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x v="1"/>
    <n v="7"/>
    <n v="9"/>
    <n v="9"/>
    <n v="1"/>
    <m/>
    <m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x v="8"/>
    <n v="2"/>
    <n v="0"/>
    <n v="4"/>
    <n v="1"/>
    <m/>
    <m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x v="8"/>
    <n v="4"/>
    <n v="0"/>
    <n v="1"/>
    <n v="1"/>
    <m/>
    <m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x v="11"/>
    <n v="2"/>
    <n v="1"/>
    <n v="0"/>
    <n v="1"/>
    <m/>
    <m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x v="8"/>
    <n v="2"/>
    <n v="0"/>
    <n v="2"/>
    <n v="1"/>
    <m/>
    <m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x v="5"/>
    <n v="7"/>
    <n v="6"/>
    <n v="2"/>
    <n v="1"/>
    <m/>
    <m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x v="3"/>
    <n v="0"/>
    <n v="7"/>
    <n v="7"/>
    <n v="1"/>
    <m/>
    <m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x v="0"/>
    <n v="5"/>
    <n v="1"/>
    <n v="4"/>
    <n v="1"/>
    <m/>
    <m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x v="1"/>
    <n v="4"/>
    <n v="1"/>
    <n v="6"/>
    <n v="1"/>
    <m/>
    <m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x v="8"/>
    <n v="3"/>
    <n v="1"/>
    <n v="3"/>
    <n v="1"/>
    <m/>
    <m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x v="23"/>
    <n v="16"/>
    <n v="11"/>
    <n v="6"/>
    <n v="1"/>
    <m/>
    <m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x v="1"/>
    <n v="7"/>
    <n v="0"/>
    <n v="9"/>
    <n v="1"/>
    <m/>
    <m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x v="1"/>
    <n v="7"/>
    <n v="0"/>
    <n v="8"/>
    <n v="1"/>
    <m/>
    <m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x v="8"/>
    <n v="3"/>
    <n v="3"/>
    <n v="3"/>
    <n v="1"/>
    <m/>
    <m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x v="18"/>
    <n v="12"/>
    <n v="5"/>
    <n v="7"/>
    <n v="1"/>
    <m/>
    <m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x v="6"/>
    <n v="0"/>
    <n v="0"/>
    <n v="0"/>
    <n v="1"/>
    <m/>
    <m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x v="4"/>
    <n v="2"/>
    <n v="1"/>
    <n v="2"/>
    <n v="1"/>
    <m/>
    <m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x v="11"/>
    <n v="2"/>
    <n v="0"/>
    <n v="2"/>
    <n v="1"/>
    <m/>
    <m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x v="8"/>
    <n v="3"/>
    <n v="0"/>
    <n v="2"/>
    <n v="1"/>
    <m/>
    <m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x v="11"/>
    <n v="2"/>
    <n v="1"/>
    <n v="2"/>
    <n v="1"/>
    <m/>
    <m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x v="3"/>
    <n v="0"/>
    <n v="7"/>
    <n v="7"/>
    <n v="1"/>
    <m/>
    <m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x v="4"/>
    <n v="2"/>
    <n v="2"/>
    <n v="2"/>
    <n v="1"/>
    <m/>
    <m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x v="3"/>
    <n v="7"/>
    <n v="7"/>
    <n v="4"/>
    <n v="1"/>
    <m/>
    <m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x v="9"/>
    <n v="2"/>
    <n v="1"/>
    <n v="2"/>
    <n v="1"/>
    <m/>
    <m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x v="23"/>
    <n v="4"/>
    <n v="4"/>
    <n v="8"/>
    <n v="1"/>
    <m/>
    <m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x v="2"/>
    <n v="0"/>
    <n v="0"/>
    <n v="0"/>
    <n v="1"/>
    <m/>
    <m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x v="19"/>
    <n v="9"/>
    <n v="6"/>
    <n v="9"/>
    <n v="1"/>
    <m/>
    <m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x v="6"/>
    <n v="0"/>
    <n v="0"/>
    <n v="0"/>
    <n v="1"/>
    <m/>
    <m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x v="9"/>
    <n v="1"/>
    <n v="1"/>
    <n v="2"/>
    <n v="1"/>
    <m/>
    <m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x v="14"/>
    <n v="10"/>
    <n v="0"/>
    <n v="4"/>
    <n v="1"/>
    <m/>
    <m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x v="2"/>
    <n v="0"/>
    <n v="0"/>
    <n v="0"/>
    <n v="1"/>
    <m/>
    <m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x v="3"/>
    <n v="3"/>
    <n v="0"/>
    <n v="7"/>
    <n v="1"/>
    <m/>
    <m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x v="3"/>
    <n v="7"/>
    <n v="7"/>
    <n v="7"/>
    <n v="1"/>
    <m/>
    <m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x v="29"/>
    <n v="10"/>
    <n v="3"/>
    <n v="7"/>
    <n v="1"/>
    <m/>
    <m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x v="7"/>
    <n v="8"/>
    <n v="0"/>
    <n v="8"/>
    <n v="1"/>
    <m/>
    <m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x v="20"/>
    <n v="8"/>
    <n v="4"/>
    <n v="8"/>
    <n v="1"/>
    <m/>
    <m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x v="1"/>
    <n v="8"/>
    <n v="0"/>
    <n v="1"/>
    <n v="1"/>
    <m/>
    <m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x v="8"/>
    <n v="3"/>
    <n v="1"/>
    <n v="2"/>
    <n v="1"/>
    <m/>
    <m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x v="8"/>
    <n v="2"/>
    <n v="0"/>
    <n v="3"/>
    <n v="1"/>
    <m/>
    <m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x v="4"/>
    <n v="2"/>
    <n v="1"/>
    <n v="0"/>
    <n v="1"/>
    <m/>
    <m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x v="25"/>
    <n v="9"/>
    <n v="9"/>
    <n v="11"/>
    <n v="1"/>
    <m/>
    <m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x v="4"/>
    <n v="2"/>
    <n v="2"/>
    <n v="2"/>
    <n v="1"/>
    <m/>
    <m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x v="1"/>
    <n v="6"/>
    <n v="8"/>
    <n v="8"/>
    <n v="1"/>
    <m/>
    <m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x v="17"/>
    <n v="9"/>
    <n v="11"/>
    <n v="10"/>
    <n v="1"/>
    <m/>
    <m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x v="3"/>
    <n v="7"/>
    <n v="1"/>
    <n v="7"/>
    <n v="1"/>
    <m/>
    <m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x v="5"/>
    <n v="1"/>
    <n v="0"/>
    <n v="7"/>
    <n v="1"/>
    <m/>
    <m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x v="3"/>
    <n v="2"/>
    <n v="7"/>
    <n v="7"/>
    <n v="1"/>
    <m/>
    <m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x v="9"/>
    <n v="3"/>
    <n v="1"/>
    <n v="2"/>
    <n v="1"/>
    <m/>
    <m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x v="20"/>
    <n v="12"/>
    <n v="11"/>
    <n v="9"/>
    <n v="1"/>
    <m/>
    <m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x v="8"/>
    <n v="4"/>
    <n v="0"/>
    <n v="4"/>
    <n v="1"/>
    <m/>
    <m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x v="5"/>
    <n v="7"/>
    <n v="1"/>
    <n v="7"/>
    <n v="1"/>
    <m/>
    <m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x v="5"/>
    <n v="7"/>
    <n v="0"/>
    <n v="7"/>
    <n v="1"/>
    <m/>
    <m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x v="11"/>
    <n v="2"/>
    <n v="2"/>
    <n v="2"/>
    <n v="1"/>
    <m/>
    <m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x v="1"/>
    <n v="8"/>
    <n v="1"/>
    <n v="9"/>
    <n v="1"/>
    <m/>
    <m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x v="1"/>
    <n v="9"/>
    <n v="8"/>
    <n v="9"/>
    <n v="1"/>
    <m/>
    <m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x v="17"/>
    <n v="9"/>
    <n v="13"/>
    <n v="3"/>
    <n v="1"/>
    <m/>
    <m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x v="6"/>
    <n v="0"/>
    <n v="0"/>
    <n v="0"/>
    <n v="1"/>
    <m/>
    <m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x v="5"/>
    <n v="7"/>
    <n v="0"/>
    <n v="1"/>
    <n v="1"/>
    <m/>
    <m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x v="11"/>
    <n v="2"/>
    <n v="1"/>
    <n v="1"/>
    <n v="1"/>
    <m/>
    <m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x v="7"/>
    <n v="7"/>
    <n v="0"/>
    <n v="0"/>
    <n v="1"/>
    <m/>
    <m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x v="8"/>
    <n v="4"/>
    <n v="1"/>
    <n v="4"/>
    <n v="1"/>
    <m/>
    <m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x v="9"/>
    <n v="3"/>
    <n v="0"/>
    <n v="3"/>
    <n v="1"/>
    <m/>
    <m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x v="6"/>
    <n v="0"/>
    <n v="0"/>
    <n v="0"/>
    <n v="1"/>
    <m/>
    <m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x v="1"/>
    <n v="9"/>
    <n v="9"/>
    <n v="8"/>
    <n v="1"/>
    <m/>
    <m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x v="9"/>
    <n v="3"/>
    <n v="0"/>
    <n v="2"/>
    <n v="1"/>
    <m/>
    <m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x v="5"/>
    <n v="7"/>
    <n v="0"/>
    <n v="7"/>
    <n v="1"/>
    <m/>
    <m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x v="11"/>
    <n v="2"/>
    <n v="2"/>
    <n v="2"/>
    <n v="1"/>
    <m/>
    <m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x v="1"/>
    <n v="9"/>
    <n v="1"/>
    <n v="2"/>
    <n v="1"/>
    <m/>
    <m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x v="3"/>
    <n v="7"/>
    <n v="0"/>
    <n v="7"/>
    <n v="1"/>
    <m/>
    <m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x v="0"/>
    <n v="2"/>
    <n v="0"/>
    <n v="4"/>
    <n v="1"/>
    <m/>
    <m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x v="19"/>
    <n v="10"/>
    <n v="2"/>
    <n v="9"/>
    <n v="1"/>
    <m/>
    <m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x v="19"/>
    <n v="9"/>
    <n v="4"/>
    <n v="10"/>
    <n v="1"/>
    <m/>
    <m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x v="5"/>
    <n v="7"/>
    <n v="1"/>
    <n v="7"/>
    <n v="1"/>
    <m/>
    <m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x v="22"/>
    <n v="6"/>
    <n v="0"/>
    <n v="13"/>
    <n v="1"/>
    <m/>
    <m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x v="9"/>
    <n v="2"/>
    <n v="0"/>
    <n v="2"/>
    <n v="1"/>
    <m/>
    <m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x v="8"/>
    <n v="4"/>
    <n v="1"/>
    <n v="2"/>
    <n v="1"/>
    <m/>
    <m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x v="2"/>
    <n v="0"/>
    <n v="0"/>
    <n v="0"/>
    <n v="1"/>
    <m/>
    <m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x v="6"/>
    <n v="0"/>
    <n v="0"/>
    <n v="0"/>
    <n v="1"/>
    <m/>
    <m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x v="9"/>
    <n v="3"/>
    <n v="0"/>
    <n v="2"/>
    <n v="1"/>
    <m/>
    <m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x v="11"/>
    <n v="2"/>
    <n v="1"/>
    <n v="0"/>
    <n v="1"/>
    <m/>
    <m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x v="3"/>
    <n v="0"/>
    <n v="0"/>
    <n v="7"/>
    <n v="1"/>
    <m/>
    <m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x v="2"/>
    <n v="0"/>
    <n v="0"/>
    <n v="0"/>
    <n v="1"/>
    <m/>
    <m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x v="5"/>
    <n v="7"/>
    <n v="6"/>
    <n v="7"/>
    <n v="1"/>
    <m/>
    <m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x v="4"/>
    <n v="2"/>
    <n v="2"/>
    <n v="2"/>
    <n v="1"/>
    <m/>
    <m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x v="3"/>
    <n v="7"/>
    <n v="7"/>
    <n v="7"/>
    <n v="1"/>
    <m/>
    <m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x v="6"/>
    <n v="0"/>
    <n v="0"/>
    <n v="0"/>
    <n v="1"/>
    <m/>
    <m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x v="11"/>
    <n v="2"/>
    <n v="1"/>
    <n v="2"/>
    <n v="1"/>
    <m/>
    <m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x v="6"/>
    <n v="0"/>
    <n v="0"/>
    <n v="0"/>
    <n v="1"/>
    <m/>
    <m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x v="20"/>
    <n v="9"/>
    <n v="1"/>
    <n v="12"/>
    <n v="1"/>
    <m/>
    <m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x v="11"/>
    <n v="2"/>
    <n v="1"/>
    <n v="2"/>
    <n v="1"/>
    <m/>
    <m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x v="5"/>
    <n v="7"/>
    <n v="1"/>
    <n v="7"/>
    <n v="1"/>
    <m/>
    <m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x v="11"/>
    <n v="2"/>
    <n v="2"/>
    <n v="2"/>
    <n v="1"/>
    <m/>
    <m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x v="6"/>
    <n v="0"/>
    <n v="0"/>
    <n v="0"/>
    <n v="1"/>
    <m/>
    <m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x v="8"/>
    <n v="4"/>
    <n v="0"/>
    <n v="3"/>
    <n v="1"/>
    <m/>
    <m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x v="6"/>
    <n v="0"/>
    <n v="0"/>
    <n v="0"/>
    <n v="1"/>
    <m/>
    <m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x v="3"/>
    <n v="7"/>
    <n v="7"/>
    <n v="7"/>
    <n v="1"/>
    <m/>
    <m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x v="9"/>
    <n v="3"/>
    <n v="1"/>
    <n v="3"/>
    <n v="1"/>
    <m/>
    <m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x v="0"/>
    <n v="4"/>
    <n v="1"/>
    <n v="0"/>
    <n v="1"/>
    <m/>
    <m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x v="4"/>
    <n v="2"/>
    <n v="2"/>
    <n v="2"/>
    <n v="1"/>
    <m/>
    <m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x v="6"/>
    <n v="0"/>
    <n v="0"/>
    <n v="0"/>
    <n v="1"/>
    <m/>
    <m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x v="11"/>
    <n v="2"/>
    <n v="1"/>
    <n v="2"/>
    <n v="1"/>
    <m/>
    <m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x v="6"/>
    <n v="1"/>
    <n v="0"/>
    <n v="0"/>
    <n v="1"/>
    <m/>
    <m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x v="8"/>
    <n v="2"/>
    <n v="0"/>
    <n v="4"/>
    <n v="1"/>
    <m/>
    <m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x v="5"/>
    <n v="5"/>
    <n v="0"/>
    <n v="7"/>
    <n v="1"/>
    <m/>
    <m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x v="8"/>
    <n v="2"/>
    <n v="0"/>
    <n v="0"/>
    <n v="1"/>
    <m/>
    <m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x v="5"/>
    <n v="7"/>
    <n v="0"/>
    <n v="7"/>
    <n v="1"/>
    <m/>
    <m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x v="4"/>
    <n v="2"/>
    <n v="2"/>
    <n v="2"/>
    <n v="1"/>
    <m/>
    <m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x v="8"/>
    <n v="2"/>
    <n v="0"/>
    <n v="4"/>
    <n v="1"/>
    <m/>
    <m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x v="8"/>
    <n v="4"/>
    <n v="1"/>
    <n v="2"/>
    <n v="1"/>
    <m/>
    <m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x v="8"/>
    <n v="2"/>
    <n v="0"/>
    <n v="3"/>
    <n v="1"/>
    <m/>
    <m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x v="6"/>
    <n v="0"/>
    <n v="0"/>
    <n v="0"/>
    <n v="1"/>
    <m/>
    <m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x v="0"/>
    <n v="4"/>
    <n v="0"/>
    <n v="4"/>
    <n v="1"/>
    <m/>
    <m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x v="4"/>
    <n v="1"/>
    <n v="1"/>
    <n v="2"/>
    <n v="1"/>
    <m/>
    <m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x v="1"/>
    <n v="9"/>
    <n v="9"/>
    <n v="0"/>
    <n v="1"/>
    <m/>
    <m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x v="6"/>
    <n v="0"/>
    <n v="0"/>
    <n v="0"/>
    <n v="1"/>
    <m/>
    <m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x v="29"/>
    <n v="7"/>
    <n v="12"/>
    <n v="17"/>
    <n v="1"/>
    <m/>
    <m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x v="8"/>
    <n v="4"/>
    <n v="1"/>
    <n v="3"/>
    <n v="1"/>
    <m/>
    <m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x v="8"/>
    <n v="2"/>
    <n v="1"/>
    <n v="2"/>
    <n v="1"/>
    <m/>
    <m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x v="6"/>
    <n v="0"/>
    <n v="0"/>
    <n v="1"/>
    <n v="1"/>
    <m/>
    <m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x v="10"/>
    <n v="10"/>
    <n v="3"/>
    <n v="9"/>
    <n v="1"/>
    <m/>
    <m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x v="6"/>
    <n v="0"/>
    <n v="0"/>
    <n v="0"/>
    <n v="1"/>
    <m/>
    <m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x v="9"/>
    <n v="2"/>
    <n v="1"/>
    <n v="2"/>
    <n v="1"/>
    <m/>
    <m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x v="11"/>
    <n v="2"/>
    <n v="1"/>
    <n v="2"/>
    <n v="1"/>
    <m/>
    <m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x v="20"/>
    <n v="10"/>
    <n v="3"/>
    <n v="12"/>
    <n v="1"/>
    <m/>
    <m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x v="11"/>
    <n v="2"/>
    <n v="1"/>
    <n v="2"/>
    <n v="1"/>
    <m/>
    <m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x v="8"/>
    <n v="2"/>
    <n v="0"/>
    <n v="2"/>
    <n v="1"/>
    <m/>
    <m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x v="8"/>
    <n v="4"/>
    <n v="1"/>
    <n v="3"/>
    <n v="1"/>
    <m/>
    <m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x v="20"/>
    <n v="11"/>
    <n v="10"/>
    <n v="7"/>
    <n v="1"/>
    <m/>
    <m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x v="9"/>
    <n v="2"/>
    <n v="3"/>
    <n v="2"/>
    <n v="1"/>
    <m/>
    <m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x v="17"/>
    <n v="8"/>
    <n v="1"/>
    <n v="6"/>
    <n v="1"/>
    <m/>
    <m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x v="5"/>
    <n v="7"/>
    <n v="7"/>
    <n v="7"/>
    <n v="1"/>
    <m/>
    <m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x v="8"/>
    <n v="4"/>
    <n v="4"/>
    <n v="4"/>
    <n v="1"/>
    <m/>
    <m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x v="1"/>
    <n v="7"/>
    <n v="0"/>
    <n v="7"/>
    <n v="1"/>
    <m/>
    <m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x v="1"/>
    <n v="0"/>
    <n v="1"/>
    <n v="8"/>
    <n v="1"/>
    <m/>
    <m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x v="4"/>
    <n v="2"/>
    <n v="0"/>
    <n v="2"/>
    <n v="1"/>
    <m/>
    <m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x v="8"/>
    <n v="4"/>
    <n v="0"/>
    <n v="4"/>
    <n v="1"/>
    <m/>
    <m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x v="4"/>
    <n v="2"/>
    <n v="0"/>
    <n v="2"/>
    <n v="1"/>
    <m/>
    <m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x v="8"/>
    <n v="2"/>
    <n v="1"/>
    <n v="4"/>
    <n v="1"/>
    <m/>
    <m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x v="8"/>
    <n v="4"/>
    <n v="0"/>
    <n v="2"/>
    <n v="1"/>
    <m/>
    <m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x v="8"/>
    <n v="4"/>
    <n v="0"/>
    <n v="2"/>
    <n v="1"/>
    <m/>
    <m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x v="30"/>
    <n v="8"/>
    <n v="11"/>
    <n v="10"/>
    <n v="1"/>
    <m/>
    <m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x v="1"/>
    <n v="7"/>
    <n v="0"/>
    <n v="8"/>
    <n v="1"/>
    <m/>
    <m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x v="0"/>
    <n v="5"/>
    <n v="0"/>
    <n v="4"/>
    <n v="1"/>
    <m/>
    <m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x v="8"/>
    <n v="3"/>
    <n v="1"/>
    <n v="4"/>
    <n v="1"/>
    <m/>
    <m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x v="4"/>
    <n v="2"/>
    <n v="1"/>
    <n v="0"/>
    <n v="1"/>
    <m/>
    <m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x v="6"/>
    <n v="0"/>
    <n v="0"/>
    <n v="0"/>
    <n v="1"/>
    <m/>
    <m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x v="23"/>
    <n v="15"/>
    <n v="1"/>
    <n v="12"/>
    <n v="1"/>
    <m/>
    <m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x v="11"/>
    <n v="2"/>
    <n v="0"/>
    <n v="2"/>
    <n v="1"/>
    <m/>
    <m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x v="8"/>
    <n v="3"/>
    <n v="1"/>
    <n v="4"/>
    <n v="1"/>
    <m/>
    <m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x v="1"/>
    <n v="2"/>
    <n v="0"/>
    <n v="7"/>
    <n v="1"/>
    <m/>
    <m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x v="4"/>
    <n v="2"/>
    <n v="1"/>
    <n v="1"/>
    <n v="1"/>
    <m/>
    <m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x v="6"/>
    <n v="0"/>
    <n v="0"/>
    <n v="0"/>
    <n v="1"/>
    <m/>
    <m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x v="7"/>
    <n v="8"/>
    <n v="7"/>
    <n v="8"/>
    <n v="1"/>
    <m/>
    <m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x v="6"/>
    <n v="0"/>
    <n v="0"/>
    <n v="0"/>
    <n v="1"/>
    <m/>
    <m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x v="16"/>
    <n v="10"/>
    <n v="15"/>
    <n v="7"/>
    <n v="1"/>
    <m/>
    <m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x v="19"/>
    <n v="7"/>
    <n v="6"/>
    <n v="7"/>
    <n v="1"/>
    <m/>
    <m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x v="29"/>
    <n v="13"/>
    <n v="13"/>
    <n v="11"/>
    <n v="1"/>
    <m/>
    <m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x v="8"/>
    <n v="0"/>
    <n v="0"/>
    <n v="4"/>
    <n v="1"/>
    <m/>
    <m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x v="11"/>
    <n v="2"/>
    <n v="0"/>
    <n v="1"/>
    <n v="1"/>
    <m/>
    <m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x v="8"/>
    <n v="4"/>
    <n v="4"/>
    <n v="3"/>
    <n v="1"/>
    <m/>
    <m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x v="6"/>
    <n v="0"/>
    <n v="0"/>
    <n v="0"/>
    <n v="1"/>
    <m/>
    <m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x v="5"/>
    <n v="3"/>
    <n v="5"/>
    <n v="7"/>
    <n v="1"/>
    <m/>
    <m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x v="11"/>
    <n v="2"/>
    <n v="1"/>
    <n v="2"/>
    <n v="1"/>
    <m/>
    <m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x v="20"/>
    <n v="8"/>
    <n v="0"/>
    <n v="8"/>
    <n v="1"/>
    <m/>
    <m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x v="5"/>
    <n v="6"/>
    <n v="7"/>
    <n v="7"/>
    <n v="1"/>
    <m/>
    <m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x v="9"/>
    <n v="3"/>
    <n v="1"/>
    <n v="3"/>
    <n v="1"/>
    <m/>
    <m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x v="11"/>
    <n v="2"/>
    <n v="1"/>
    <n v="2"/>
    <n v="1"/>
    <m/>
    <m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x v="3"/>
    <n v="7"/>
    <n v="0"/>
    <n v="0"/>
    <n v="1"/>
    <m/>
    <m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x v="6"/>
    <n v="0"/>
    <n v="0"/>
    <n v="0"/>
    <n v="1"/>
    <m/>
    <m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x v="11"/>
    <n v="2"/>
    <n v="0"/>
    <n v="2"/>
    <n v="1"/>
    <m/>
    <m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x v="4"/>
    <n v="2"/>
    <n v="2"/>
    <n v="0"/>
    <n v="1"/>
    <m/>
    <m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x v="1"/>
    <n v="3"/>
    <n v="9"/>
    <n v="7"/>
    <n v="1"/>
    <m/>
    <m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x v="4"/>
    <n v="2"/>
    <n v="1"/>
    <n v="2"/>
    <n v="1"/>
    <m/>
    <m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x v="7"/>
    <n v="7"/>
    <n v="6"/>
    <n v="7"/>
    <n v="1"/>
    <m/>
    <m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x v="1"/>
    <n v="9"/>
    <n v="7"/>
    <n v="7"/>
    <n v="1"/>
    <m/>
    <m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x v="13"/>
    <n v="3"/>
    <n v="1"/>
    <n v="10"/>
    <n v="1"/>
    <m/>
    <m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x v="19"/>
    <n v="9"/>
    <n v="6"/>
    <n v="9"/>
    <n v="1"/>
    <m/>
    <m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x v="23"/>
    <n v="6"/>
    <n v="5"/>
    <n v="13"/>
    <n v="1"/>
    <m/>
    <m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x v="3"/>
    <n v="3"/>
    <n v="0"/>
    <n v="7"/>
    <n v="1"/>
    <m/>
    <m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x v="0"/>
    <n v="5"/>
    <n v="0"/>
    <n v="5"/>
    <n v="1"/>
    <m/>
    <m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x v="1"/>
    <n v="9"/>
    <n v="5"/>
    <n v="8"/>
    <n v="1"/>
    <m/>
    <m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x v="3"/>
    <n v="7"/>
    <n v="3"/>
    <n v="7"/>
    <n v="1"/>
    <m/>
    <m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x v="5"/>
    <n v="7"/>
    <n v="1"/>
    <n v="0"/>
    <n v="1"/>
    <m/>
    <m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x v="11"/>
    <n v="2"/>
    <n v="1"/>
    <n v="2"/>
    <n v="1"/>
    <m/>
    <m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x v="0"/>
    <n v="1"/>
    <n v="0"/>
    <n v="5"/>
    <n v="1"/>
    <m/>
    <m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x v="8"/>
    <n v="4"/>
    <n v="0"/>
    <n v="1"/>
    <n v="1"/>
    <m/>
    <m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x v="2"/>
    <n v="0"/>
    <n v="0"/>
    <n v="0"/>
    <n v="1"/>
    <m/>
    <m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x v="6"/>
    <n v="0"/>
    <n v="0"/>
    <n v="1"/>
    <n v="1"/>
    <m/>
    <m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x v="3"/>
    <n v="7"/>
    <n v="0"/>
    <n v="7"/>
    <n v="1"/>
    <m/>
    <m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x v="2"/>
    <n v="0"/>
    <n v="0"/>
    <n v="0"/>
    <n v="1"/>
    <m/>
    <m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x v="8"/>
    <n v="4"/>
    <n v="0"/>
    <n v="3"/>
    <n v="1"/>
    <m/>
    <m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x v="1"/>
    <n v="7"/>
    <n v="5"/>
    <n v="7"/>
    <n v="1"/>
    <m/>
    <m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x v="6"/>
    <n v="0"/>
    <n v="0"/>
    <n v="0"/>
    <n v="1"/>
    <m/>
    <m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x v="0"/>
    <n v="5"/>
    <n v="1"/>
    <n v="2"/>
    <n v="1"/>
    <m/>
    <m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x v="4"/>
    <n v="2"/>
    <n v="1"/>
    <n v="2"/>
    <n v="1"/>
    <m/>
    <m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x v="29"/>
    <n v="16"/>
    <n v="11"/>
    <n v="8"/>
    <n v="1"/>
    <m/>
    <m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x v="7"/>
    <n v="5"/>
    <n v="7"/>
    <n v="7"/>
    <n v="1"/>
    <m/>
    <m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x v="1"/>
    <n v="9"/>
    <n v="6"/>
    <n v="9"/>
    <n v="1"/>
    <m/>
    <m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x v="9"/>
    <n v="2"/>
    <n v="1"/>
    <n v="2"/>
    <n v="1"/>
    <m/>
    <m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x v="4"/>
    <n v="2"/>
    <n v="2"/>
    <n v="1"/>
    <n v="1"/>
    <m/>
    <m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x v="6"/>
    <n v="0"/>
    <n v="0"/>
    <n v="0"/>
    <n v="1"/>
    <m/>
    <m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x v="0"/>
    <n v="5"/>
    <n v="4"/>
    <n v="3"/>
    <n v="1"/>
    <m/>
    <m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x v="31"/>
    <n v="9"/>
    <n v="0"/>
    <n v="9"/>
    <n v="1"/>
    <m/>
    <m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x v="0"/>
    <n v="5"/>
    <n v="1"/>
    <n v="4"/>
    <n v="1"/>
    <m/>
    <m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x v="8"/>
    <n v="3"/>
    <n v="1"/>
    <n v="4"/>
    <n v="1"/>
    <m/>
    <m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x v="6"/>
    <n v="0"/>
    <n v="0"/>
    <n v="0"/>
    <n v="1"/>
    <m/>
    <m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x v="32"/>
    <n v="5"/>
    <n v="10"/>
    <n v="7"/>
    <n v="1"/>
    <m/>
    <m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x v="5"/>
    <n v="4"/>
    <n v="0"/>
    <n v="6"/>
    <n v="1"/>
    <m/>
    <m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x v="0"/>
    <n v="3"/>
    <n v="1"/>
    <n v="2"/>
    <n v="1"/>
    <m/>
    <m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x v="6"/>
    <n v="0"/>
    <n v="0"/>
    <n v="0"/>
    <n v="1"/>
    <m/>
    <m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x v="0"/>
    <n v="5"/>
    <n v="1"/>
    <n v="3"/>
    <n v="1"/>
    <m/>
    <m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x v="11"/>
    <n v="1"/>
    <n v="1"/>
    <n v="2"/>
    <n v="1"/>
    <m/>
    <m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x v="11"/>
    <n v="2"/>
    <n v="0"/>
    <n v="2"/>
    <n v="1"/>
    <m/>
    <m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x v="5"/>
    <n v="7"/>
    <n v="5"/>
    <n v="7"/>
    <n v="1"/>
    <m/>
    <m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x v="8"/>
    <n v="3"/>
    <n v="0"/>
    <n v="3"/>
    <n v="1"/>
    <m/>
    <m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x v="11"/>
    <n v="0"/>
    <n v="1"/>
    <n v="0"/>
    <n v="1"/>
    <m/>
    <m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x v="6"/>
    <n v="0"/>
    <n v="0"/>
    <n v="0"/>
    <n v="1"/>
    <m/>
    <m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x v="1"/>
    <n v="2"/>
    <n v="2"/>
    <n v="2"/>
    <n v="1"/>
    <m/>
    <m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x v="6"/>
    <n v="0"/>
    <n v="0"/>
    <n v="0"/>
    <n v="1"/>
    <m/>
    <m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x v="2"/>
    <n v="0"/>
    <n v="0"/>
    <n v="0"/>
    <n v="1"/>
    <m/>
    <m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x v="3"/>
    <n v="7"/>
    <n v="4"/>
    <n v="7"/>
    <n v="1"/>
    <m/>
    <m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x v="11"/>
    <n v="2"/>
    <n v="0"/>
    <n v="2"/>
    <n v="1"/>
    <m/>
    <m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x v="4"/>
    <n v="2"/>
    <n v="0"/>
    <n v="2"/>
    <n v="1"/>
    <m/>
    <m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x v="3"/>
    <n v="2"/>
    <n v="0"/>
    <n v="6"/>
    <n v="1"/>
    <m/>
    <m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x v="9"/>
    <n v="3"/>
    <n v="0"/>
    <n v="2"/>
    <n v="1"/>
    <m/>
    <m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x v="11"/>
    <n v="2"/>
    <n v="1"/>
    <n v="2"/>
    <n v="1"/>
    <m/>
    <m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x v="4"/>
    <n v="2"/>
    <n v="0"/>
    <n v="1"/>
    <n v="1"/>
    <m/>
    <m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x v="4"/>
    <n v="2"/>
    <n v="2"/>
    <n v="2"/>
    <n v="1"/>
    <m/>
    <m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x v="8"/>
    <n v="0"/>
    <n v="1"/>
    <n v="2"/>
    <n v="1"/>
    <m/>
    <m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x v="0"/>
    <n v="4"/>
    <n v="0"/>
    <n v="5"/>
    <n v="1"/>
    <m/>
    <m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x v="6"/>
    <n v="0"/>
    <n v="0"/>
    <n v="0"/>
    <n v="1"/>
    <m/>
    <m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x v="13"/>
    <n v="7"/>
    <n v="8"/>
    <n v="10"/>
    <n v="1"/>
    <m/>
    <m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x v="1"/>
    <n v="9"/>
    <n v="8"/>
    <n v="8"/>
    <n v="1"/>
    <m/>
    <m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x v="6"/>
    <n v="1"/>
    <n v="0"/>
    <n v="0"/>
    <n v="1"/>
    <m/>
    <m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x v="11"/>
    <n v="2"/>
    <n v="0"/>
    <n v="2"/>
    <n v="1"/>
    <m/>
    <m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x v="1"/>
    <n v="7"/>
    <n v="7"/>
    <n v="8"/>
    <n v="1"/>
    <m/>
    <m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x v="0"/>
    <n v="0"/>
    <n v="1"/>
    <n v="2"/>
    <n v="1"/>
    <m/>
    <m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x v="18"/>
    <n v="11"/>
    <n v="11"/>
    <n v="8"/>
    <n v="1"/>
    <m/>
    <m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x v="20"/>
    <n v="11"/>
    <n v="4"/>
    <n v="7"/>
    <n v="1"/>
    <m/>
    <m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x v="7"/>
    <n v="7"/>
    <n v="7"/>
    <n v="1"/>
    <n v="1"/>
    <m/>
    <m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x v="11"/>
    <n v="2"/>
    <n v="0"/>
    <n v="2"/>
    <n v="1"/>
    <m/>
    <m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x v="9"/>
    <n v="2"/>
    <n v="1"/>
    <n v="1"/>
    <n v="1"/>
    <m/>
    <m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x v="6"/>
    <n v="0"/>
    <n v="1"/>
    <n v="1"/>
    <n v="1"/>
    <m/>
    <m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x v="1"/>
    <n v="8"/>
    <n v="9"/>
    <n v="7"/>
    <n v="1"/>
    <m/>
    <m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x v="6"/>
    <n v="0"/>
    <n v="0"/>
    <n v="0"/>
    <n v="1"/>
    <m/>
    <m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x v="11"/>
    <n v="2"/>
    <n v="0"/>
    <n v="2"/>
    <n v="1"/>
    <m/>
    <m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x v="11"/>
    <n v="2"/>
    <n v="1"/>
    <n v="2"/>
    <n v="1"/>
    <m/>
    <m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x v="5"/>
    <n v="7"/>
    <n v="0"/>
    <n v="5"/>
    <n v="1"/>
    <m/>
    <m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x v="1"/>
    <n v="7"/>
    <n v="2"/>
    <n v="8"/>
    <n v="1"/>
    <m/>
    <m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x v="4"/>
    <n v="2"/>
    <n v="2"/>
    <n v="2"/>
    <n v="1"/>
    <m/>
    <m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x v="0"/>
    <n v="5"/>
    <n v="0"/>
    <n v="4"/>
    <n v="1"/>
    <m/>
    <m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x v="6"/>
    <n v="0"/>
    <n v="0"/>
    <n v="0"/>
    <n v="1"/>
    <m/>
    <m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x v="23"/>
    <n v="8"/>
    <n v="3"/>
    <n v="8"/>
    <n v="1"/>
    <m/>
    <m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x v="3"/>
    <n v="7"/>
    <n v="7"/>
    <n v="7"/>
    <n v="1"/>
    <m/>
    <m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x v="4"/>
    <n v="2"/>
    <n v="2"/>
    <n v="0"/>
    <n v="1"/>
    <m/>
    <m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x v="23"/>
    <n v="7"/>
    <n v="11"/>
    <n v="10"/>
    <n v="1"/>
    <m/>
    <m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x v="1"/>
    <n v="7"/>
    <n v="0"/>
    <n v="8"/>
    <n v="1"/>
    <m/>
    <m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x v="9"/>
    <n v="3"/>
    <n v="1"/>
    <n v="3"/>
    <n v="1"/>
    <m/>
    <m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x v="7"/>
    <n v="7"/>
    <n v="1"/>
    <n v="8"/>
    <n v="1"/>
    <m/>
    <m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x v="7"/>
    <n v="7"/>
    <n v="0"/>
    <n v="7"/>
    <n v="1"/>
    <m/>
    <m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x v="5"/>
    <n v="7"/>
    <n v="7"/>
    <n v="7"/>
    <n v="1"/>
    <m/>
    <m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x v="5"/>
    <n v="7"/>
    <n v="1"/>
    <n v="7"/>
    <n v="1"/>
    <m/>
    <m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x v="29"/>
    <n v="13"/>
    <n v="1"/>
    <n v="12"/>
    <n v="1"/>
    <m/>
    <m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x v="8"/>
    <n v="1"/>
    <n v="1"/>
    <n v="3"/>
    <n v="1"/>
    <m/>
    <m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x v="17"/>
    <n v="6"/>
    <n v="12"/>
    <n v="6"/>
    <n v="1"/>
    <m/>
    <m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x v="4"/>
    <n v="2"/>
    <n v="2"/>
    <n v="2"/>
    <n v="1"/>
    <m/>
    <m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x v="7"/>
    <n v="7"/>
    <n v="1"/>
    <n v="7"/>
    <n v="1"/>
    <m/>
    <m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x v="14"/>
    <n v="7"/>
    <n v="2"/>
    <n v="10"/>
    <n v="1"/>
    <m/>
    <m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x v="4"/>
    <n v="2"/>
    <n v="2"/>
    <n v="2"/>
    <n v="1"/>
    <m/>
    <m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x v="5"/>
    <n v="7"/>
    <n v="3"/>
    <n v="7"/>
    <n v="1"/>
    <m/>
    <m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x v="3"/>
    <n v="7"/>
    <n v="0"/>
    <n v="5"/>
    <n v="1"/>
    <m/>
    <m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x v="6"/>
    <n v="0"/>
    <n v="0"/>
    <n v="0"/>
    <n v="1"/>
    <m/>
    <m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x v="8"/>
    <n v="2"/>
    <n v="1"/>
    <n v="4"/>
    <n v="1"/>
    <m/>
    <m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x v="14"/>
    <n v="2"/>
    <n v="11"/>
    <n v="13"/>
    <n v="1"/>
    <m/>
    <m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x v="3"/>
    <n v="7"/>
    <n v="7"/>
    <n v="7"/>
    <n v="1"/>
    <m/>
    <m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x v="6"/>
    <n v="0"/>
    <n v="0"/>
    <n v="0"/>
    <n v="1"/>
    <m/>
    <m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x v="4"/>
    <n v="2"/>
    <n v="2"/>
    <n v="2"/>
    <n v="1"/>
    <m/>
    <m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x v="4"/>
    <n v="2"/>
    <n v="2"/>
    <n v="2"/>
    <n v="1"/>
    <m/>
    <m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x v="8"/>
    <n v="1"/>
    <n v="4"/>
    <n v="3"/>
    <n v="1"/>
    <m/>
    <m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x v="9"/>
    <n v="3"/>
    <n v="0"/>
    <n v="2"/>
    <n v="1"/>
    <m/>
    <m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x v="3"/>
    <n v="3"/>
    <n v="3"/>
    <n v="6"/>
    <n v="1"/>
    <m/>
    <m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x v="1"/>
    <n v="7"/>
    <n v="1"/>
    <n v="1"/>
    <n v="1"/>
    <m/>
    <m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x v="9"/>
    <n v="2"/>
    <n v="2"/>
    <n v="3"/>
    <n v="1"/>
    <m/>
    <m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x v="5"/>
    <n v="6"/>
    <n v="0"/>
    <n v="7"/>
    <n v="1"/>
    <m/>
    <m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x v="4"/>
    <n v="2"/>
    <n v="2"/>
    <n v="2"/>
    <n v="1"/>
    <m/>
    <m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x v="4"/>
    <n v="2"/>
    <n v="2"/>
    <n v="2"/>
    <n v="1"/>
    <m/>
    <m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x v="6"/>
    <n v="0"/>
    <n v="0"/>
    <n v="0"/>
    <n v="1"/>
    <m/>
    <m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x v="1"/>
    <n v="8"/>
    <n v="4"/>
    <n v="7"/>
    <n v="1"/>
    <m/>
    <m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x v="6"/>
    <n v="0"/>
    <n v="0"/>
    <n v="1"/>
    <n v="1"/>
    <m/>
    <m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x v="2"/>
    <n v="0"/>
    <n v="0"/>
    <n v="0"/>
    <n v="1"/>
    <m/>
    <m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x v="33"/>
    <n v="6"/>
    <n v="1"/>
    <n v="16"/>
    <n v="1"/>
    <m/>
    <m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x v="1"/>
    <n v="9"/>
    <n v="7"/>
    <n v="8"/>
    <n v="1"/>
    <m/>
    <m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x v="0"/>
    <n v="5"/>
    <n v="1"/>
    <n v="4"/>
    <n v="1"/>
    <m/>
    <m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x v="3"/>
    <n v="7"/>
    <n v="3"/>
    <n v="1"/>
    <n v="1"/>
    <m/>
    <m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x v="4"/>
    <n v="2"/>
    <n v="0"/>
    <n v="2"/>
    <n v="1"/>
    <m/>
    <m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x v="8"/>
    <n v="4"/>
    <n v="1"/>
    <n v="3"/>
    <n v="1"/>
    <m/>
    <m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x v="0"/>
    <n v="5"/>
    <n v="1"/>
    <n v="4"/>
    <n v="1"/>
    <m/>
    <m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x v="8"/>
    <n v="2"/>
    <n v="1"/>
    <n v="4"/>
    <n v="1"/>
    <m/>
    <m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x v="1"/>
    <n v="7"/>
    <n v="0"/>
    <n v="9"/>
    <n v="1"/>
    <m/>
    <m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x v="9"/>
    <n v="3"/>
    <n v="1"/>
    <n v="2"/>
    <n v="1"/>
    <m/>
    <m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x v="4"/>
    <n v="2"/>
    <n v="2"/>
    <n v="0"/>
    <n v="1"/>
    <m/>
    <m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x v="3"/>
    <n v="7"/>
    <n v="1"/>
    <n v="1"/>
    <n v="1"/>
    <m/>
    <m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x v="9"/>
    <n v="3"/>
    <n v="1"/>
    <n v="2"/>
    <n v="1"/>
    <m/>
    <m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x v="9"/>
    <n v="2"/>
    <n v="1"/>
    <n v="3"/>
    <n v="1"/>
    <m/>
    <m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x v="8"/>
    <n v="3"/>
    <n v="1"/>
    <n v="4"/>
    <n v="1"/>
    <m/>
    <m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x v="9"/>
    <n v="2"/>
    <n v="1"/>
    <n v="1"/>
    <n v="1"/>
    <m/>
    <m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x v="8"/>
    <n v="3"/>
    <n v="4"/>
    <n v="3"/>
    <n v="1"/>
    <m/>
    <m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x v="15"/>
    <n v="7"/>
    <n v="4"/>
    <n v="12"/>
    <n v="1"/>
    <m/>
    <m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x v="0"/>
    <n v="5"/>
    <n v="1"/>
    <n v="3"/>
    <n v="1"/>
    <m/>
    <m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x v="11"/>
    <n v="2"/>
    <n v="0"/>
    <n v="2"/>
    <n v="1"/>
    <m/>
    <m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x v="4"/>
    <n v="2"/>
    <n v="0"/>
    <n v="2"/>
    <n v="1"/>
    <m/>
    <m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x v="3"/>
    <n v="7"/>
    <n v="3"/>
    <n v="7"/>
    <n v="1"/>
    <m/>
    <m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x v="11"/>
    <n v="2"/>
    <n v="1"/>
    <n v="2"/>
    <n v="1"/>
    <m/>
    <m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x v="25"/>
    <n v="7"/>
    <n v="14"/>
    <n v="9"/>
    <n v="1"/>
    <m/>
    <m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x v="2"/>
    <n v="0"/>
    <n v="0"/>
    <n v="0"/>
    <n v="1"/>
    <m/>
    <m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x v="6"/>
    <n v="0"/>
    <n v="0"/>
    <n v="0"/>
    <n v="1"/>
    <m/>
    <m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x v="8"/>
    <n v="2"/>
    <n v="1"/>
    <n v="4"/>
    <n v="1"/>
    <m/>
    <m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x v="9"/>
    <n v="3"/>
    <n v="0"/>
    <n v="3"/>
    <n v="1"/>
    <m/>
    <m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x v="6"/>
    <n v="0"/>
    <n v="0"/>
    <n v="0"/>
    <n v="1"/>
    <m/>
    <m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x v="20"/>
    <n v="9"/>
    <n v="3"/>
    <n v="7"/>
    <n v="1"/>
    <m/>
    <m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x v="11"/>
    <n v="2"/>
    <n v="0"/>
    <n v="2"/>
    <n v="1"/>
    <m/>
    <m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x v="34"/>
    <n v="14"/>
    <n v="3"/>
    <n v="0"/>
    <n v="1"/>
    <m/>
    <m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x v="7"/>
    <n v="7"/>
    <n v="0"/>
    <n v="5"/>
    <n v="1"/>
    <m/>
    <m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x v="1"/>
    <n v="7"/>
    <n v="0"/>
    <n v="7"/>
    <n v="1"/>
    <m/>
    <m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x v="31"/>
    <n v="15"/>
    <n v="13"/>
    <n v="8"/>
    <n v="1"/>
    <m/>
    <m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x v="4"/>
    <n v="2"/>
    <n v="2"/>
    <n v="2"/>
    <n v="1"/>
    <m/>
    <m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x v="9"/>
    <n v="3"/>
    <n v="0"/>
    <n v="2"/>
    <n v="1"/>
    <m/>
    <m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x v="4"/>
    <n v="2"/>
    <n v="2"/>
    <n v="1"/>
    <n v="1"/>
    <m/>
    <m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x v="8"/>
    <n v="2"/>
    <n v="0"/>
    <n v="4"/>
    <n v="1"/>
    <m/>
    <m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x v="13"/>
    <n v="13"/>
    <n v="6"/>
    <n v="8"/>
    <n v="1"/>
    <m/>
    <m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x v="6"/>
    <n v="0"/>
    <n v="0"/>
    <n v="0"/>
    <n v="1"/>
    <m/>
    <m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x v="2"/>
    <n v="0"/>
    <n v="0"/>
    <n v="0"/>
    <n v="1"/>
    <m/>
    <m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x v="6"/>
    <n v="0"/>
    <n v="0"/>
    <n v="0"/>
    <n v="1"/>
    <m/>
    <m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x v="7"/>
    <n v="8"/>
    <n v="7"/>
    <n v="8"/>
    <n v="1"/>
    <m/>
    <m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x v="9"/>
    <n v="3"/>
    <n v="1"/>
    <n v="2"/>
    <n v="1"/>
    <m/>
    <m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x v="8"/>
    <n v="2"/>
    <n v="1"/>
    <n v="3"/>
    <n v="1"/>
    <m/>
    <m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x v="7"/>
    <n v="8"/>
    <n v="7"/>
    <n v="7"/>
    <n v="1"/>
    <m/>
    <m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x v="7"/>
    <n v="7"/>
    <n v="7"/>
    <n v="3"/>
    <n v="1"/>
    <m/>
    <m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x v="9"/>
    <n v="1"/>
    <n v="1"/>
    <n v="0"/>
    <n v="1"/>
    <m/>
    <m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x v="7"/>
    <n v="8"/>
    <n v="0"/>
    <n v="8"/>
    <n v="1"/>
    <m/>
    <m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x v="3"/>
    <n v="5"/>
    <n v="1"/>
    <n v="6"/>
    <n v="1"/>
    <m/>
    <m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x v="3"/>
    <n v="7"/>
    <n v="7"/>
    <n v="5"/>
    <n v="1"/>
    <m/>
    <m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x v="11"/>
    <n v="2"/>
    <n v="0"/>
    <n v="2"/>
    <n v="1"/>
    <m/>
    <m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x v="3"/>
    <n v="7"/>
    <n v="1"/>
    <n v="7"/>
    <n v="1"/>
    <m/>
    <m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x v="2"/>
    <n v="0"/>
    <n v="0"/>
    <n v="0"/>
    <n v="1"/>
    <m/>
    <m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x v="23"/>
    <n v="6"/>
    <n v="4"/>
    <n v="17"/>
    <n v="1"/>
    <m/>
    <m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x v="8"/>
    <n v="2"/>
    <n v="2"/>
    <n v="3"/>
    <n v="1"/>
    <m/>
    <m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x v="9"/>
    <n v="3"/>
    <n v="0"/>
    <n v="1"/>
    <n v="1"/>
    <m/>
    <m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x v="7"/>
    <n v="8"/>
    <n v="0"/>
    <n v="8"/>
    <n v="1"/>
    <m/>
    <m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x v="0"/>
    <n v="5"/>
    <n v="1"/>
    <n v="1"/>
    <n v="1"/>
    <m/>
    <m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x v="29"/>
    <n v="14"/>
    <n v="4"/>
    <n v="11"/>
    <n v="1"/>
    <m/>
    <m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x v="8"/>
    <n v="2"/>
    <n v="0"/>
    <n v="3"/>
    <n v="1"/>
    <m/>
    <m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x v="8"/>
    <n v="4"/>
    <n v="0"/>
    <n v="3"/>
    <n v="1"/>
    <m/>
    <m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x v="8"/>
    <n v="2"/>
    <n v="0"/>
    <n v="4"/>
    <n v="1"/>
    <m/>
    <m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x v="8"/>
    <n v="4"/>
    <n v="0"/>
    <n v="2"/>
    <n v="1"/>
    <m/>
    <m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x v="8"/>
    <n v="3"/>
    <n v="1"/>
    <n v="3"/>
    <n v="1"/>
    <m/>
    <m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x v="7"/>
    <n v="8"/>
    <n v="0"/>
    <n v="0"/>
    <n v="1"/>
    <m/>
    <m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x v="6"/>
    <n v="0"/>
    <n v="0"/>
    <n v="0"/>
    <n v="1"/>
    <m/>
    <m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x v="8"/>
    <n v="1"/>
    <n v="0"/>
    <n v="4"/>
    <n v="1"/>
    <m/>
    <m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x v="4"/>
    <n v="2"/>
    <n v="2"/>
    <n v="2"/>
    <n v="1"/>
    <m/>
    <m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x v="11"/>
    <n v="2"/>
    <n v="0"/>
    <n v="2"/>
    <n v="1"/>
    <m/>
    <m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x v="4"/>
    <n v="1"/>
    <n v="2"/>
    <n v="2"/>
    <n v="1"/>
    <m/>
    <m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x v="8"/>
    <n v="4"/>
    <n v="0"/>
    <n v="3"/>
    <n v="1"/>
    <m/>
    <m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x v="8"/>
    <n v="3"/>
    <n v="0"/>
    <n v="3"/>
    <n v="1"/>
    <m/>
    <m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x v="18"/>
    <n v="14"/>
    <n v="5"/>
    <n v="15"/>
    <n v="1"/>
    <m/>
    <m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x v="1"/>
    <n v="2"/>
    <n v="7"/>
    <n v="8"/>
    <n v="1"/>
    <m/>
    <m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x v="11"/>
    <n v="0"/>
    <n v="0"/>
    <n v="2"/>
    <n v="1"/>
    <m/>
    <m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x v="8"/>
    <n v="2"/>
    <n v="0"/>
    <n v="3"/>
    <n v="1"/>
    <m/>
    <m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x v="9"/>
    <n v="2"/>
    <n v="0"/>
    <n v="2"/>
    <n v="1"/>
    <m/>
    <m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x v="8"/>
    <n v="2"/>
    <n v="3"/>
    <n v="4"/>
    <n v="1"/>
    <m/>
    <m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x v="1"/>
    <n v="8"/>
    <n v="5"/>
    <n v="3"/>
    <n v="1"/>
    <m/>
    <m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x v="4"/>
    <n v="2"/>
    <n v="1"/>
    <n v="2"/>
    <n v="1"/>
    <m/>
    <m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x v="8"/>
    <n v="3"/>
    <n v="1"/>
    <n v="3"/>
    <n v="1"/>
    <m/>
    <m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x v="0"/>
    <n v="4"/>
    <n v="0"/>
    <n v="2"/>
    <n v="1"/>
    <m/>
    <m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x v="11"/>
    <n v="2"/>
    <n v="0"/>
    <n v="2"/>
    <n v="1"/>
    <m/>
    <m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x v="4"/>
    <n v="0"/>
    <n v="2"/>
    <n v="2"/>
    <n v="1"/>
    <m/>
    <m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x v="20"/>
    <n v="10"/>
    <n v="4"/>
    <n v="8"/>
    <n v="1"/>
    <m/>
    <m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x v="8"/>
    <n v="4"/>
    <n v="0"/>
    <n v="0"/>
    <n v="1"/>
    <m/>
    <m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x v="12"/>
    <n v="9"/>
    <n v="3"/>
    <n v="8"/>
    <n v="1"/>
    <m/>
    <m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x v="8"/>
    <n v="2"/>
    <n v="2"/>
    <n v="2"/>
    <n v="1"/>
    <m/>
    <m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x v="5"/>
    <n v="6"/>
    <n v="7"/>
    <n v="7"/>
    <n v="1"/>
    <m/>
    <m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x v="1"/>
    <n v="0"/>
    <n v="0"/>
    <n v="9"/>
    <n v="1"/>
    <m/>
    <m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x v="31"/>
    <n v="6"/>
    <n v="14"/>
    <n v="7"/>
    <n v="1"/>
    <m/>
    <m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x v="8"/>
    <n v="4"/>
    <n v="0"/>
    <n v="4"/>
    <n v="1"/>
    <m/>
    <m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x v="9"/>
    <n v="3"/>
    <n v="0"/>
    <n v="3"/>
    <n v="1"/>
    <m/>
    <m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x v="6"/>
    <n v="0"/>
    <n v="0"/>
    <n v="1"/>
    <n v="1"/>
    <m/>
    <m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x v="9"/>
    <n v="3"/>
    <n v="0"/>
    <n v="3"/>
    <n v="1"/>
    <m/>
    <m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x v="3"/>
    <n v="7"/>
    <n v="7"/>
    <n v="1"/>
    <n v="1"/>
    <m/>
    <m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x v="9"/>
    <n v="2"/>
    <n v="0"/>
    <n v="2"/>
    <n v="1"/>
    <m/>
    <m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x v="6"/>
    <n v="0"/>
    <n v="0"/>
    <n v="0"/>
    <n v="1"/>
    <m/>
    <m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x v="6"/>
    <n v="0"/>
    <n v="0"/>
    <n v="0"/>
    <n v="1"/>
    <m/>
    <m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x v="4"/>
    <n v="2"/>
    <n v="0"/>
    <n v="2"/>
    <n v="1"/>
    <m/>
    <m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x v="6"/>
    <n v="0"/>
    <n v="0"/>
    <n v="0"/>
    <n v="1"/>
    <m/>
    <m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x v="22"/>
    <n v="8"/>
    <n v="4"/>
    <n v="11"/>
    <n v="1"/>
    <m/>
    <m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x v="11"/>
    <n v="2"/>
    <n v="1"/>
    <n v="2"/>
    <n v="1"/>
    <m/>
    <m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x v="11"/>
    <n v="2"/>
    <n v="0"/>
    <n v="2"/>
    <n v="1"/>
    <m/>
    <m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x v="5"/>
    <n v="7"/>
    <n v="1"/>
    <n v="0"/>
    <n v="1"/>
    <m/>
    <m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x v="4"/>
    <n v="2"/>
    <n v="2"/>
    <n v="2"/>
    <n v="1"/>
    <m/>
    <m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x v="4"/>
    <n v="2"/>
    <n v="2"/>
    <n v="2"/>
    <n v="1"/>
    <m/>
    <m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x v="6"/>
    <n v="1"/>
    <n v="0"/>
    <n v="0"/>
    <n v="1"/>
    <m/>
    <m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x v="6"/>
    <n v="0"/>
    <n v="1"/>
    <n v="0"/>
    <n v="1"/>
    <m/>
    <m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x v="8"/>
    <n v="4"/>
    <n v="0"/>
    <n v="3"/>
    <n v="1"/>
    <m/>
    <m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x v="11"/>
    <n v="2"/>
    <n v="0"/>
    <n v="2"/>
    <n v="1"/>
    <m/>
    <m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x v="0"/>
    <n v="0"/>
    <n v="0"/>
    <n v="4"/>
    <n v="1"/>
    <m/>
    <m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x v="5"/>
    <n v="7"/>
    <n v="5"/>
    <n v="2"/>
    <n v="1"/>
    <m/>
    <m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x v="1"/>
    <n v="6"/>
    <n v="0"/>
    <n v="7"/>
    <n v="1"/>
    <m/>
    <m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x v="34"/>
    <n v="9"/>
    <n v="1"/>
    <n v="7"/>
    <n v="1"/>
    <m/>
    <m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x v="2"/>
    <n v="0"/>
    <n v="0"/>
    <n v="0"/>
    <n v="1"/>
    <m/>
    <m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x v="7"/>
    <n v="8"/>
    <n v="0"/>
    <n v="0"/>
    <n v="1"/>
    <m/>
    <m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x v="0"/>
    <n v="2"/>
    <n v="0"/>
    <n v="1"/>
    <n v="1"/>
    <m/>
    <m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x v="15"/>
    <n v="12"/>
    <n v="5"/>
    <n v="11"/>
    <n v="1"/>
    <m/>
    <m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x v="11"/>
    <n v="0"/>
    <n v="0"/>
    <n v="2"/>
    <n v="1"/>
    <m/>
    <m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x v="6"/>
    <n v="0"/>
    <n v="0"/>
    <n v="0"/>
    <n v="1"/>
    <m/>
    <m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x v="6"/>
    <n v="0"/>
    <n v="0"/>
    <n v="0"/>
    <n v="1"/>
    <m/>
    <m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x v="5"/>
    <n v="7"/>
    <n v="0"/>
    <n v="7"/>
    <n v="1"/>
    <m/>
    <m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x v="29"/>
    <n v="13"/>
    <n v="2"/>
    <n v="17"/>
    <n v="1"/>
    <m/>
    <m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x v="19"/>
    <n v="8"/>
    <n v="3"/>
    <n v="9"/>
    <n v="1"/>
    <m/>
    <m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x v="6"/>
    <n v="0"/>
    <n v="0"/>
    <n v="0"/>
    <n v="1"/>
    <m/>
    <m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x v="6"/>
    <n v="0"/>
    <n v="0"/>
    <n v="0"/>
    <n v="1"/>
    <m/>
    <m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x v="7"/>
    <n v="7"/>
    <n v="8"/>
    <n v="5"/>
    <n v="1"/>
    <m/>
    <m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x v="6"/>
    <n v="1"/>
    <n v="0"/>
    <n v="0"/>
    <n v="1"/>
    <m/>
    <m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x v="3"/>
    <n v="7"/>
    <n v="6"/>
    <n v="3"/>
    <n v="1"/>
    <m/>
    <m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x v="22"/>
    <n v="7"/>
    <n v="3"/>
    <n v="7"/>
    <n v="1"/>
    <m/>
    <m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x v="8"/>
    <n v="0"/>
    <n v="1"/>
    <n v="4"/>
    <n v="1"/>
    <m/>
    <m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x v="13"/>
    <n v="1"/>
    <n v="11"/>
    <n v="7"/>
    <n v="1"/>
    <m/>
    <m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x v="7"/>
    <n v="7"/>
    <n v="0"/>
    <n v="8"/>
    <n v="1"/>
    <m/>
    <m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x v="11"/>
    <n v="1"/>
    <n v="0"/>
    <n v="2"/>
    <n v="1"/>
    <m/>
    <m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x v="8"/>
    <n v="2"/>
    <n v="1"/>
    <n v="0"/>
    <n v="1"/>
    <m/>
    <m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x v="7"/>
    <n v="8"/>
    <n v="7"/>
    <n v="8"/>
    <n v="1"/>
    <m/>
    <m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x v="6"/>
    <n v="0"/>
    <n v="0"/>
    <n v="0"/>
    <n v="1"/>
    <m/>
    <m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x v="18"/>
    <n v="13"/>
    <n v="15"/>
    <n v="2"/>
    <n v="1"/>
    <m/>
    <m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x v="3"/>
    <n v="4"/>
    <n v="7"/>
    <n v="7"/>
    <n v="1"/>
    <m/>
    <m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x v="8"/>
    <n v="3"/>
    <n v="1"/>
    <n v="3"/>
    <n v="1"/>
    <m/>
    <m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x v="1"/>
    <n v="9"/>
    <n v="0"/>
    <n v="8"/>
    <n v="1"/>
    <m/>
    <m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x v="3"/>
    <n v="7"/>
    <n v="0"/>
    <n v="7"/>
    <n v="1"/>
    <m/>
    <m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x v="6"/>
    <n v="0"/>
    <n v="0"/>
    <n v="0"/>
    <n v="1"/>
    <m/>
    <m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x v="27"/>
    <n v="10"/>
    <n v="2"/>
    <n v="7"/>
    <n v="1"/>
    <m/>
    <m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x v="5"/>
    <n v="7"/>
    <n v="0"/>
    <n v="7"/>
    <n v="1"/>
    <m/>
    <m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x v="11"/>
    <n v="2"/>
    <n v="1"/>
    <n v="2"/>
    <n v="1"/>
    <m/>
    <m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x v="1"/>
    <n v="8"/>
    <n v="6"/>
    <n v="0"/>
    <n v="1"/>
    <m/>
    <m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x v="2"/>
    <n v="0"/>
    <n v="0"/>
    <n v="0"/>
    <n v="1"/>
    <m/>
    <m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x v="11"/>
    <n v="2"/>
    <n v="0"/>
    <n v="2"/>
    <n v="1"/>
    <m/>
    <m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x v="8"/>
    <n v="3"/>
    <n v="0"/>
    <n v="2"/>
    <n v="1"/>
    <m/>
    <m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x v="8"/>
    <n v="4"/>
    <n v="1"/>
    <n v="3"/>
    <n v="1"/>
    <m/>
    <m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x v="0"/>
    <n v="5"/>
    <n v="1"/>
    <n v="2"/>
    <n v="1"/>
    <m/>
    <m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x v="29"/>
    <n v="16"/>
    <n v="0"/>
    <n v="11"/>
    <n v="1"/>
    <m/>
    <m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x v="4"/>
    <n v="2"/>
    <n v="2"/>
    <n v="2"/>
    <n v="1"/>
    <m/>
    <m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x v="7"/>
    <n v="8"/>
    <n v="0"/>
    <n v="8"/>
    <n v="1"/>
    <m/>
    <m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x v="7"/>
    <n v="0"/>
    <n v="0"/>
    <n v="7"/>
    <n v="1"/>
    <m/>
    <m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x v="8"/>
    <n v="2"/>
    <n v="0"/>
    <n v="1"/>
    <n v="1"/>
    <m/>
    <m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x v="12"/>
    <n v="11"/>
    <n v="1"/>
    <n v="5"/>
    <n v="1"/>
    <m/>
    <m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x v="4"/>
    <n v="1"/>
    <n v="0"/>
    <n v="2"/>
    <n v="1"/>
    <m/>
    <m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x v="3"/>
    <n v="7"/>
    <n v="0"/>
    <n v="7"/>
    <n v="1"/>
    <m/>
    <m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x v="9"/>
    <n v="2"/>
    <n v="3"/>
    <n v="2"/>
    <n v="1"/>
    <m/>
    <m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x v="9"/>
    <n v="2"/>
    <n v="0"/>
    <n v="2"/>
    <n v="1"/>
    <m/>
    <m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x v="9"/>
    <n v="3"/>
    <n v="0"/>
    <n v="3"/>
    <n v="1"/>
    <m/>
    <m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x v="2"/>
    <n v="0"/>
    <n v="0"/>
    <n v="0"/>
    <n v="1"/>
    <m/>
    <m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x v="1"/>
    <n v="7"/>
    <n v="0"/>
    <n v="8"/>
    <n v="1"/>
    <m/>
    <m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x v="22"/>
    <n v="10"/>
    <n v="10"/>
    <n v="1"/>
    <n v="1"/>
    <m/>
    <m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x v="3"/>
    <n v="7"/>
    <n v="1"/>
    <n v="7"/>
    <n v="1"/>
    <m/>
    <m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x v="6"/>
    <n v="0"/>
    <n v="0"/>
    <n v="0"/>
    <n v="1"/>
    <m/>
    <m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x v="11"/>
    <n v="2"/>
    <n v="1"/>
    <n v="2"/>
    <n v="1"/>
    <m/>
    <m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x v="3"/>
    <n v="7"/>
    <n v="1"/>
    <n v="3"/>
    <n v="1"/>
    <m/>
    <m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x v="9"/>
    <n v="3"/>
    <n v="1"/>
    <n v="1"/>
    <n v="1"/>
    <m/>
    <m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x v="4"/>
    <n v="2"/>
    <n v="2"/>
    <n v="2"/>
    <n v="1"/>
    <m/>
    <m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x v="15"/>
    <n v="11"/>
    <n v="4"/>
    <n v="8"/>
    <n v="1"/>
    <m/>
    <m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x v="4"/>
    <n v="2"/>
    <n v="2"/>
    <n v="1"/>
    <n v="1"/>
    <m/>
    <m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x v="17"/>
    <n v="6"/>
    <n v="11"/>
    <n v="8"/>
    <n v="1"/>
    <m/>
    <m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x v="11"/>
    <n v="2"/>
    <n v="2"/>
    <n v="2"/>
    <n v="1"/>
    <m/>
    <m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x v="11"/>
    <n v="2"/>
    <n v="1"/>
    <n v="2"/>
    <n v="1"/>
    <m/>
    <m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x v="6"/>
    <n v="0"/>
    <n v="0"/>
    <n v="0"/>
    <n v="1"/>
    <m/>
    <m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x v="6"/>
    <n v="0"/>
    <n v="0"/>
    <n v="0"/>
    <n v="1"/>
    <m/>
    <m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x v="8"/>
    <n v="3"/>
    <n v="4"/>
    <n v="3"/>
    <n v="1"/>
    <m/>
    <m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x v="6"/>
    <n v="0"/>
    <n v="0"/>
    <n v="0"/>
    <n v="1"/>
    <m/>
    <m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x v="3"/>
    <n v="7"/>
    <n v="6"/>
    <n v="7"/>
    <n v="1"/>
    <m/>
    <m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x v="17"/>
    <n v="16"/>
    <n v="5"/>
    <n v="10"/>
    <n v="1"/>
    <m/>
    <m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x v="6"/>
    <n v="0"/>
    <n v="0"/>
    <n v="0"/>
    <n v="1"/>
    <m/>
    <m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x v="4"/>
    <n v="2"/>
    <n v="2"/>
    <n v="2"/>
    <n v="1"/>
    <m/>
    <m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x v="32"/>
    <n v="14"/>
    <n v="6"/>
    <n v="9"/>
    <n v="1"/>
    <m/>
    <m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x v="12"/>
    <n v="11"/>
    <n v="11"/>
    <n v="11"/>
    <n v="1"/>
    <m/>
    <m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x v="29"/>
    <n v="7"/>
    <n v="0"/>
    <n v="13"/>
    <n v="1"/>
    <m/>
    <m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x v="18"/>
    <n v="13"/>
    <n v="15"/>
    <n v="14"/>
    <n v="1"/>
    <m/>
    <m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x v="17"/>
    <n v="6"/>
    <n v="2"/>
    <n v="8"/>
    <n v="1"/>
    <m/>
    <m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x v="4"/>
    <n v="2"/>
    <n v="2"/>
    <n v="2"/>
    <n v="1"/>
    <m/>
    <m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x v="7"/>
    <n v="3"/>
    <n v="1"/>
    <n v="1"/>
    <n v="1"/>
    <m/>
    <m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x v="3"/>
    <n v="7"/>
    <n v="7"/>
    <n v="7"/>
    <n v="1"/>
    <m/>
    <m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x v="15"/>
    <n v="1"/>
    <n v="0"/>
    <n v="9"/>
    <n v="1"/>
    <m/>
    <m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x v="0"/>
    <n v="4"/>
    <n v="0"/>
    <n v="4"/>
    <n v="1"/>
    <m/>
    <m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x v="0"/>
    <n v="3"/>
    <n v="0"/>
    <n v="4"/>
    <n v="1"/>
    <m/>
    <m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x v="15"/>
    <n v="7"/>
    <n v="6"/>
    <n v="12"/>
    <n v="1"/>
    <m/>
    <m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x v="6"/>
    <n v="0"/>
    <n v="0"/>
    <n v="0"/>
    <n v="1"/>
    <m/>
    <m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x v="11"/>
    <n v="2"/>
    <n v="1"/>
    <n v="2"/>
    <n v="1"/>
    <m/>
    <m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x v="6"/>
    <n v="1"/>
    <n v="0"/>
    <n v="0"/>
    <n v="1"/>
    <m/>
    <m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x v="6"/>
    <n v="0"/>
    <n v="0"/>
    <n v="0"/>
    <n v="1"/>
    <m/>
    <m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x v="4"/>
    <n v="2"/>
    <n v="2"/>
    <n v="2"/>
    <n v="1"/>
    <m/>
    <m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x v="3"/>
    <n v="1"/>
    <n v="7"/>
    <n v="7"/>
    <n v="1"/>
    <m/>
    <m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x v="9"/>
    <n v="3"/>
    <n v="0"/>
    <n v="1"/>
    <n v="1"/>
    <m/>
    <m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x v="5"/>
    <n v="7"/>
    <n v="7"/>
    <n v="5"/>
    <n v="1"/>
    <m/>
    <m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x v="8"/>
    <n v="3"/>
    <n v="1"/>
    <n v="3"/>
    <n v="1"/>
    <m/>
    <m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x v="4"/>
    <n v="2"/>
    <n v="2"/>
    <n v="2"/>
    <n v="1"/>
    <m/>
    <m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x v="7"/>
    <n v="4"/>
    <n v="7"/>
    <n v="0"/>
    <n v="1"/>
    <m/>
    <m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x v="8"/>
    <n v="4"/>
    <n v="0"/>
    <n v="3"/>
    <n v="1"/>
    <m/>
    <m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x v="13"/>
    <n v="8"/>
    <n v="7"/>
    <n v="8"/>
    <n v="1"/>
    <m/>
    <m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x v="7"/>
    <n v="7"/>
    <n v="6"/>
    <n v="2"/>
    <n v="1"/>
    <m/>
    <m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x v="6"/>
    <n v="0"/>
    <n v="0"/>
    <n v="0"/>
    <n v="1"/>
    <m/>
    <m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x v="4"/>
    <n v="2"/>
    <n v="0"/>
    <n v="2"/>
    <n v="1"/>
    <m/>
    <m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x v="6"/>
    <n v="0"/>
    <n v="1"/>
    <n v="0"/>
    <n v="1"/>
    <m/>
    <m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x v="22"/>
    <n v="13"/>
    <n v="1"/>
    <n v="7"/>
    <n v="1"/>
    <m/>
    <m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x v="1"/>
    <n v="0"/>
    <n v="2"/>
    <n v="7"/>
    <n v="1"/>
    <m/>
    <m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x v="1"/>
    <n v="7"/>
    <n v="1"/>
    <n v="9"/>
    <n v="1"/>
    <m/>
    <m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x v="8"/>
    <n v="3"/>
    <n v="1"/>
    <n v="3"/>
    <n v="1"/>
    <m/>
    <m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x v="0"/>
    <n v="2"/>
    <n v="0"/>
    <n v="2"/>
    <n v="1"/>
    <m/>
    <m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x v="1"/>
    <n v="6"/>
    <n v="0"/>
    <n v="8"/>
    <n v="1"/>
    <m/>
    <m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x v="27"/>
    <n v="9"/>
    <n v="1"/>
    <n v="9"/>
    <n v="1"/>
    <m/>
    <m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x v="19"/>
    <n v="10"/>
    <n v="11"/>
    <n v="1"/>
    <n v="1"/>
    <m/>
    <m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x v="11"/>
    <n v="2"/>
    <n v="1"/>
    <n v="2"/>
    <n v="1"/>
    <m/>
    <m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x v="11"/>
    <n v="2"/>
    <n v="1"/>
    <n v="2"/>
    <n v="1"/>
    <m/>
    <m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x v="3"/>
    <n v="7"/>
    <n v="1"/>
    <n v="7"/>
    <n v="1"/>
    <m/>
    <m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x v="23"/>
    <n v="6"/>
    <n v="3"/>
    <n v="6"/>
    <n v="1"/>
    <m/>
    <m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x v="11"/>
    <n v="2"/>
    <n v="1"/>
    <n v="2"/>
    <n v="1"/>
    <m/>
    <m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x v="3"/>
    <n v="7"/>
    <n v="4"/>
    <n v="7"/>
    <n v="1"/>
    <m/>
    <m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x v="20"/>
    <n v="7"/>
    <n v="3"/>
    <n v="8"/>
    <n v="1"/>
    <m/>
    <m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x v="9"/>
    <n v="2"/>
    <n v="2"/>
    <n v="2"/>
    <n v="1"/>
    <m/>
    <m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x v="0"/>
    <n v="2"/>
    <n v="0"/>
    <n v="4"/>
    <n v="1"/>
    <m/>
    <m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x v="6"/>
    <n v="0"/>
    <n v="0"/>
    <n v="0"/>
    <n v="1"/>
    <m/>
    <m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x v="5"/>
    <n v="7"/>
    <n v="5"/>
    <n v="6"/>
    <n v="1"/>
    <m/>
    <m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x v="6"/>
    <n v="1"/>
    <n v="0"/>
    <n v="0"/>
    <n v="1"/>
    <m/>
    <m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x v="4"/>
    <n v="2"/>
    <n v="2"/>
    <n v="2"/>
    <n v="1"/>
    <m/>
    <m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x v="14"/>
    <n v="6"/>
    <n v="13"/>
    <n v="7"/>
    <n v="1"/>
    <m/>
    <m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x v="6"/>
    <n v="0"/>
    <n v="0"/>
    <n v="0"/>
    <n v="1"/>
    <m/>
    <m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x v="2"/>
    <n v="0"/>
    <n v="0"/>
    <n v="0"/>
    <n v="1"/>
    <m/>
    <m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x v="11"/>
    <n v="2"/>
    <n v="0"/>
    <n v="2"/>
    <n v="1"/>
    <m/>
    <m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x v="2"/>
    <n v="0"/>
    <n v="0"/>
    <n v="0"/>
    <n v="1"/>
    <m/>
    <m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x v="8"/>
    <n v="4"/>
    <n v="2"/>
    <n v="1"/>
    <n v="1"/>
    <m/>
    <m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x v="15"/>
    <n v="10"/>
    <n v="4"/>
    <n v="12"/>
    <n v="1"/>
    <m/>
    <m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x v="3"/>
    <n v="6"/>
    <n v="4"/>
    <n v="0"/>
    <n v="1"/>
    <m/>
    <m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x v="3"/>
    <n v="7"/>
    <n v="2"/>
    <n v="7"/>
    <n v="1"/>
    <m/>
    <m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x v="5"/>
    <n v="5"/>
    <n v="1"/>
    <n v="7"/>
    <n v="1"/>
    <m/>
    <m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x v="7"/>
    <n v="7"/>
    <n v="1"/>
    <n v="7"/>
    <n v="1"/>
    <m/>
    <m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x v="12"/>
    <n v="9"/>
    <n v="4"/>
    <n v="9"/>
    <n v="1"/>
    <m/>
    <m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x v="6"/>
    <n v="0"/>
    <n v="0"/>
    <n v="0"/>
    <n v="1"/>
    <m/>
    <m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x v="3"/>
    <n v="7"/>
    <n v="0"/>
    <n v="1"/>
    <n v="1"/>
    <m/>
    <m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x v="29"/>
    <n v="7"/>
    <n v="11"/>
    <n v="5"/>
    <n v="1"/>
    <m/>
    <m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x v="23"/>
    <n v="7"/>
    <n v="4"/>
    <n v="9"/>
    <n v="1"/>
    <m/>
    <m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x v="4"/>
    <n v="2"/>
    <n v="2"/>
    <n v="2"/>
    <n v="1"/>
    <m/>
    <m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x v="8"/>
    <n v="4"/>
    <n v="0"/>
    <n v="3"/>
    <n v="1"/>
    <m/>
    <m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x v="19"/>
    <n v="9"/>
    <n v="0"/>
    <n v="9"/>
    <n v="1"/>
    <m/>
    <m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x v="4"/>
    <n v="2"/>
    <n v="2"/>
    <n v="2"/>
    <n v="1"/>
    <m/>
    <m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x v="8"/>
    <n v="3"/>
    <n v="0"/>
    <n v="4"/>
    <n v="1"/>
    <m/>
    <m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x v="8"/>
    <n v="2"/>
    <n v="0"/>
    <n v="2"/>
    <n v="1"/>
    <m/>
    <m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x v="7"/>
    <n v="8"/>
    <n v="2"/>
    <n v="3"/>
    <n v="1"/>
    <m/>
    <m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x v="11"/>
    <n v="2"/>
    <n v="0"/>
    <n v="2"/>
    <n v="1"/>
    <m/>
    <m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x v="5"/>
    <n v="5"/>
    <n v="1"/>
    <n v="1"/>
    <n v="1"/>
    <m/>
    <m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x v="6"/>
    <n v="0"/>
    <n v="0"/>
    <n v="0"/>
    <n v="1"/>
    <m/>
    <m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x v="1"/>
    <n v="7"/>
    <n v="1"/>
    <n v="2"/>
    <n v="1"/>
    <m/>
    <m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x v="5"/>
    <n v="6"/>
    <n v="5"/>
    <n v="0"/>
    <n v="1"/>
    <m/>
    <m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x v="11"/>
    <n v="1"/>
    <n v="0"/>
    <n v="2"/>
    <n v="1"/>
    <m/>
    <m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x v="2"/>
    <n v="0"/>
    <n v="0"/>
    <n v="0"/>
    <n v="1"/>
    <m/>
    <m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x v="8"/>
    <n v="2"/>
    <n v="0"/>
    <n v="3"/>
    <n v="1"/>
    <m/>
    <m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x v="6"/>
    <n v="0"/>
    <n v="0"/>
    <n v="0"/>
    <n v="1"/>
    <m/>
    <m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x v="4"/>
    <n v="2"/>
    <n v="2"/>
    <n v="2"/>
    <n v="1"/>
    <m/>
    <m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x v="0"/>
    <n v="2"/>
    <n v="1"/>
    <n v="3"/>
    <n v="1"/>
    <m/>
    <m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x v="9"/>
    <n v="2"/>
    <n v="2"/>
    <n v="2"/>
    <n v="1"/>
    <m/>
    <m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x v="0"/>
    <n v="5"/>
    <n v="1"/>
    <n v="3"/>
    <n v="1"/>
    <m/>
    <m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x v="8"/>
    <n v="4"/>
    <n v="1"/>
    <n v="4"/>
    <n v="1"/>
    <m/>
    <m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x v="19"/>
    <n v="8"/>
    <n v="3"/>
    <n v="10"/>
    <n v="1"/>
    <m/>
    <m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x v="29"/>
    <n v="7"/>
    <n v="2"/>
    <n v="13"/>
    <n v="1"/>
    <m/>
    <m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x v="17"/>
    <n v="9"/>
    <n v="13"/>
    <n v="14"/>
    <n v="1"/>
    <m/>
    <m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x v="0"/>
    <n v="4"/>
    <n v="1"/>
    <n v="5"/>
    <n v="1"/>
    <m/>
    <m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x v="3"/>
    <n v="0"/>
    <n v="1"/>
    <n v="7"/>
    <n v="1"/>
    <m/>
    <m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x v="9"/>
    <n v="3"/>
    <n v="1"/>
    <n v="2"/>
    <n v="1"/>
    <m/>
    <m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x v="6"/>
    <n v="1"/>
    <n v="0"/>
    <n v="0"/>
    <n v="1"/>
    <m/>
    <m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x v="3"/>
    <n v="7"/>
    <n v="0"/>
    <n v="7"/>
    <n v="1"/>
    <m/>
    <m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x v="1"/>
    <n v="3"/>
    <n v="1"/>
    <n v="4"/>
    <n v="1"/>
    <m/>
    <m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x v="6"/>
    <n v="1"/>
    <n v="0"/>
    <n v="0"/>
    <n v="1"/>
    <m/>
    <m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x v="5"/>
    <n v="7"/>
    <n v="6"/>
    <n v="4"/>
    <n v="1"/>
    <m/>
    <m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x v="20"/>
    <n v="9"/>
    <n v="4"/>
    <n v="9"/>
    <n v="1"/>
    <m/>
    <m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x v="4"/>
    <n v="2"/>
    <n v="2"/>
    <n v="2"/>
    <n v="1"/>
    <m/>
    <m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x v="9"/>
    <n v="3"/>
    <n v="1"/>
    <n v="3"/>
    <n v="1"/>
    <m/>
    <m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x v="6"/>
    <n v="0"/>
    <n v="0"/>
    <n v="0"/>
    <n v="1"/>
    <m/>
    <m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x v="8"/>
    <n v="2"/>
    <n v="4"/>
    <n v="2"/>
    <n v="1"/>
    <m/>
    <m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x v="1"/>
    <n v="8"/>
    <n v="0"/>
    <n v="8"/>
    <n v="1"/>
    <m/>
    <m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x v="6"/>
    <n v="1"/>
    <n v="0"/>
    <n v="0"/>
    <n v="1"/>
    <m/>
    <m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x v="11"/>
    <n v="2"/>
    <n v="0"/>
    <n v="2"/>
    <n v="1"/>
    <m/>
    <m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x v="13"/>
    <n v="8"/>
    <n v="3"/>
    <n v="11"/>
    <n v="1"/>
    <m/>
    <m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x v="4"/>
    <n v="2"/>
    <n v="1"/>
    <n v="2"/>
    <n v="1"/>
    <m/>
    <m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x v="0"/>
    <n v="4"/>
    <n v="0"/>
    <n v="2"/>
    <n v="1"/>
    <m/>
    <m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x v="5"/>
    <n v="7"/>
    <n v="4"/>
    <n v="7"/>
    <n v="1"/>
    <m/>
    <m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x v="8"/>
    <n v="4"/>
    <n v="1"/>
    <n v="3"/>
    <n v="1"/>
    <m/>
    <m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x v="2"/>
    <n v="0"/>
    <n v="0"/>
    <n v="0"/>
    <n v="1"/>
    <m/>
    <m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x v="34"/>
    <n v="15"/>
    <n v="15"/>
    <n v="9"/>
    <n v="1"/>
    <m/>
    <m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x v="2"/>
    <n v="0"/>
    <n v="0"/>
    <n v="0"/>
    <n v="1"/>
    <m/>
    <m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x v="8"/>
    <n v="4"/>
    <n v="1"/>
    <n v="4"/>
    <n v="1"/>
    <m/>
    <m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x v="6"/>
    <n v="0"/>
    <n v="0"/>
    <n v="0"/>
    <n v="1"/>
    <m/>
    <m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x v="9"/>
    <n v="3"/>
    <n v="0"/>
    <n v="3"/>
    <n v="1"/>
    <m/>
    <m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x v="2"/>
    <n v="0"/>
    <n v="0"/>
    <n v="0"/>
    <n v="1"/>
    <m/>
    <m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x v="4"/>
    <n v="2"/>
    <n v="2"/>
    <n v="2"/>
    <n v="1"/>
    <m/>
    <m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x v="0"/>
    <n v="5"/>
    <n v="3"/>
    <n v="3"/>
    <n v="1"/>
    <m/>
    <m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x v="9"/>
    <n v="2"/>
    <n v="0"/>
    <n v="3"/>
    <n v="1"/>
    <m/>
    <m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x v="5"/>
    <n v="7"/>
    <n v="1"/>
    <n v="7"/>
    <n v="1"/>
    <m/>
    <m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x v="6"/>
    <n v="0"/>
    <n v="0"/>
    <n v="0"/>
    <n v="1"/>
    <m/>
    <m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x v="1"/>
    <n v="7"/>
    <n v="0"/>
    <n v="1"/>
    <n v="1"/>
    <m/>
    <m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x v="5"/>
    <n v="7"/>
    <n v="1"/>
    <n v="7"/>
    <n v="1"/>
    <m/>
    <m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x v="1"/>
    <n v="7"/>
    <n v="8"/>
    <n v="9"/>
    <n v="1"/>
    <m/>
    <m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x v="23"/>
    <n v="11"/>
    <n v="13"/>
    <n v="17"/>
    <n v="1"/>
    <m/>
    <m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x v="4"/>
    <n v="1"/>
    <n v="2"/>
    <n v="2"/>
    <n v="1"/>
    <m/>
    <m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x v="0"/>
    <n v="3"/>
    <n v="1"/>
    <n v="4"/>
    <n v="1"/>
    <m/>
    <m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x v="9"/>
    <n v="3"/>
    <n v="0"/>
    <n v="3"/>
    <n v="1"/>
    <m/>
    <m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x v="19"/>
    <n v="7"/>
    <n v="1"/>
    <n v="9"/>
    <n v="1"/>
    <m/>
    <m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x v="4"/>
    <n v="2"/>
    <n v="2"/>
    <n v="2"/>
    <n v="1"/>
    <m/>
    <m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x v="3"/>
    <n v="7"/>
    <n v="0"/>
    <n v="7"/>
    <n v="1"/>
    <m/>
    <m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x v="5"/>
    <n v="7"/>
    <n v="7"/>
    <n v="7"/>
    <n v="1"/>
    <m/>
    <m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x v="13"/>
    <n v="10"/>
    <n v="4"/>
    <n v="10"/>
    <n v="1"/>
    <m/>
    <m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x v="8"/>
    <n v="1"/>
    <n v="1"/>
    <n v="3"/>
    <n v="1"/>
    <m/>
    <m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x v="9"/>
    <n v="3"/>
    <n v="1"/>
    <n v="1"/>
    <n v="1"/>
    <m/>
    <m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x v="19"/>
    <n v="9"/>
    <n v="5"/>
    <n v="7"/>
    <n v="1"/>
    <m/>
    <m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x v="6"/>
    <n v="0"/>
    <n v="0"/>
    <n v="0"/>
    <n v="1"/>
    <m/>
    <m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x v="20"/>
    <n v="2"/>
    <n v="4"/>
    <n v="12"/>
    <n v="1"/>
    <m/>
    <m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x v="7"/>
    <n v="7"/>
    <n v="6"/>
    <n v="8"/>
    <n v="1"/>
    <m/>
    <m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x v="8"/>
    <n v="4"/>
    <n v="1"/>
    <n v="4"/>
    <n v="1"/>
    <m/>
    <m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x v="1"/>
    <n v="5"/>
    <n v="7"/>
    <n v="7"/>
    <n v="1"/>
    <m/>
    <m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x v="6"/>
    <n v="1"/>
    <n v="0"/>
    <n v="0"/>
    <n v="1"/>
    <m/>
    <m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x v="11"/>
    <n v="2"/>
    <n v="1"/>
    <n v="2"/>
    <n v="1"/>
    <m/>
    <m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x v="1"/>
    <n v="9"/>
    <n v="0"/>
    <n v="9"/>
    <n v="1"/>
    <m/>
    <m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x v="0"/>
    <n v="5"/>
    <n v="0"/>
    <n v="1"/>
    <n v="1"/>
    <m/>
    <m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x v="1"/>
    <n v="9"/>
    <n v="1"/>
    <n v="8"/>
    <n v="1"/>
    <m/>
    <m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x v="0"/>
    <n v="1"/>
    <n v="0"/>
    <n v="5"/>
    <n v="1"/>
    <m/>
    <m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x v="3"/>
    <n v="7"/>
    <n v="0"/>
    <n v="7"/>
    <n v="1"/>
    <m/>
    <m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x v="6"/>
    <n v="0"/>
    <n v="0"/>
    <n v="0"/>
    <n v="1"/>
    <m/>
    <m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x v="19"/>
    <n v="10"/>
    <n v="0"/>
    <n v="7"/>
    <n v="1"/>
    <m/>
    <m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x v="6"/>
    <n v="0"/>
    <n v="0"/>
    <n v="0"/>
    <n v="1"/>
    <m/>
    <m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x v="8"/>
    <n v="3"/>
    <n v="0"/>
    <n v="3"/>
    <n v="1"/>
    <m/>
    <m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x v="0"/>
    <n v="0"/>
    <n v="1"/>
    <n v="0"/>
    <n v="1"/>
    <m/>
    <m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x v="6"/>
    <n v="0"/>
    <n v="0"/>
    <n v="0"/>
    <n v="1"/>
    <m/>
    <m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x v="5"/>
    <n v="7"/>
    <n v="1"/>
    <n v="7"/>
    <n v="1"/>
    <m/>
    <m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x v="6"/>
    <n v="0"/>
    <n v="0"/>
    <n v="0"/>
    <n v="1"/>
    <m/>
    <m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x v="14"/>
    <n v="9"/>
    <n v="3"/>
    <n v="10"/>
    <n v="1"/>
    <m/>
    <m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x v="7"/>
    <n v="8"/>
    <n v="0"/>
    <n v="8"/>
    <n v="1"/>
    <m/>
    <m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x v="6"/>
    <n v="0"/>
    <n v="0"/>
    <n v="1"/>
    <n v="1"/>
    <m/>
    <m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x v="6"/>
    <n v="0"/>
    <n v="0"/>
    <n v="1"/>
    <n v="1"/>
    <m/>
    <m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x v="6"/>
    <n v="0"/>
    <n v="1"/>
    <n v="0"/>
    <n v="1"/>
    <m/>
    <m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x v="3"/>
    <n v="5"/>
    <n v="2"/>
    <n v="2"/>
    <n v="1"/>
    <m/>
    <m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x v="25"/>
    <n v="10"/>
    <n v="1"/>
    <n v="11"/>
    <n v="1"/>
    <m/>
    <m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x v="26"/>
    <n v="9"/>
    <n v="15"/>
    <n v="0"/>
    <n v="1"/>
    <m/>
    <m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x v="4"/>
    <n v="2"/>
    <n v="2"/>
    <n v="2"/>
    <n v="1"/>
    <m/>
    <m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x v="19"/>
    <n v="4"/>
    <n v="0"/>
    <n v="8"/>
    <n v="1"/>
    <m/>
    <m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x v="11"/>
    <n v="2"/>
    <n v="0"/>
    <n v="2"/>
    <n v="1"/>
    <m/>
    <m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x v="30"/>
    <n v="10"/>
    <n v="11"/>
    <n v="10"/>
    <n v="1"/>
    <m/>
    <m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x v="7"/>
    <n v="7"/>
    <n v="5"/>
    <n v="4"/>
    <n v="1"/>
    <m/>
    <m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x v="19"/>
    <n v="8"/>
    <n v="5"/>
    <n v="10"/>
    <n v="1"/>
    <m/>
    <m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x v="9"/>
    <n v="2"/>
    <n v="0"/>
    <n v="2"/>
    <n v="1"/>
    <m/>
    <m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x v="10"/>
    <n v="9"/>
    <n v="14"/>
    <n v="13"/>
    <n v="1"/>
    <m/>
    <m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x v="1"/>
    <n v="9"/>
    <n v="1"/>
    <n v="8"/>
    <n v="1"/>
    <m/>
    <m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x v="11"/>
    <n v="2"/>
    <n v="2"/>
    <n v="2"/>
    <n v="1"/>
    <m/>
    <m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x v="6"/>
    <n v="0"/>
    <n v="0"/>
    <n v="0"/>
    <n v="1"/>
    <m/>
    <m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x v="17"/>
    <n v="7"/>
    <n v="15"/>
    <n v="17"/>
    <n v="1"/>
    <m/>
    <m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x v="22"/>
    <n v="14"/>
    <n v="5"/>
    <n v="12"/>
    <n v="1"/>
    <m/>
    <m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x v="1"/>
    <n v="7"/>
    <n v="0"/>
    <n v="5"/>
    <n v="1"/>
    <m/>
    <m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x v="4"/>
    <n v="2"/>
    <n v="2"/>
    <n v="2"/>
    <n v="1"/>
    <m/>
    <m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x v="5"/>
    <n v="0"/>
    <n v="7"/>
    <n v="7"/>
    <n v="1"/>
    <m/>
    <m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x v="3"/>
    <n v="4"/>
    <n v="1"/>
    <n v="7"/>
    <n v="1"/>
    <m/>
    <m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x v="5"/>
    <n v="7"/>
    <n v="7"/>
    <n v="7"/>
    <n v="1"/>
    <m/>
    <m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x v="11"/>
    <n v="2"/>
    <n v="1"/>
    <n v="2"/>
    <n v="1"/>
    <m/>
    <m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x v="4"/>
    <n v="2"/>
    <n v="2"/>
    <n v="1"/>
    <n v="1"/>
    <m/>
    <m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x v="1"/>
    <n v="7"/>
    <n v="0"/>
    <n v="8"/>
    <n v="1"/>
    <m/>
    <m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x v="2"/>
    <n v="0"/>
    <n v="0"/>
    <n v="0"/>
    <n v="1"/>
    <m/>
    <m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x v="27"/>
    <n v="9"/>
    <n v="15"/>
    <n v="2"/>
    <n v="1"/>
    <m/>
    <m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x v="4"/>
    <n v="2"/>
    <n v="2"/>
    <n v="2"/>
    <n v="1"/>
    <m/>
    <m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x v="1"/>
    <n v="4"/>
    <n v="1"/>
    <n v="1"/>
    <n v="1"/>
    <m/>
    <m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x v="8"/>
    <n v="2"/>
    <n v="0"/>
    <n v="3"/>
    <n v="1"/>
    <m/>
    <m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x v="7"/>
    <n v="2"/>
    <n v="6"/>
    <n v="7"/>
    <n v="1"/>
    <m/>
    <m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x v="5"/>
    <n v="7"/>
    <n v="1"/>
    <n v="7"/>
    <n v="1"/>
    <m/>
    <m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x v="5"/>
    <n v="6"/>
    <n v="5"/>
    <n v="7"/>
    <n v="1"/>
    <m/>
    <m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x v="7"/>
    <n v="8"/>
    <n v="7"/>
    <n v="5"/>
    <n v="1"/>
    <m/>
    <m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x v="11"/>
    <n v="2"/>
    <n v="1"/>
    <n v="2"/>
    <n v="1"/>
    <m/>
    <m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x v="8"/>
    <n v="4"/>
    <n v="1"/>
    <n v="0"/>
    <n v="1"/>
    <m/>
    <m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x v="3"/>
    <n v="7"/>
    <n v="7"/>
    <n v="7"/>
    <n v="1"/>
    <m/>
    <m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x v="7"/>
    <n v="1"/>
    <n v="0"/>
    <n v="8"/>
    <n v="1"/>
    <m/>
    <m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x v="3"/>
    <n v="7"/>
    <n v="1"/>
    <n v="7"/>
    <n v="1"/>
    <m/>
    <m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x v="1"/>
    <n v="8"/>
    <n v="9"/>
    <n v="6"/>
    <n v="1"/>
    <m/>
    <m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x v="27"/>
    <n v="2"/>
    <n v="11"/>
    <n v="9"/>
    <n v="1"/>
    <m/>
    <m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x v="11"/>
    <n v="2"/>
    <n v="2"/>
    <n v="2"/>
    <n v="1"/>
    <m/>
    <m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x v="11"/>
    <n v="2"/>
    <n v="1"/>
    <n v="2"/>
    <n v="1"/>
    <m/>
    <m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x v="23"/>
    <n v="8"/>
    <n v="2"/>
    <n v="10"/>
    <n v="1"/>
    <m/>
    <m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x v="27"/>
    <n v="9"/>
    <n v="9"/>
    <n v="11"/>
    <n v="1"/>
    <m/>
    <m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x v="5"/>
    <n v="3"/>
    <n v="7"/>
    <n v="7"/>
    <n v="1"/>
    <m/>
    <m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x v="9"/>
    <n v="2"/>
    <n v="0"/>
    <n v="0"/>
    <n v="1"/>
    <m/>
    <m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x v="7"/>
    <n v="7"/>
    <n v="1"/>
    <n v="6"/>
    <n v="1"/>
    <m/>
    <m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x v="7"/>
    <n v="8"/>
    <n v="8"/>
    <n v="8"/>
    <n v="1"/>
    <m/>
    <m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x v="7"/>
    <n v="3"/>
    <n v="1"/>
    <n v="7"/>
    <n v="1"/>
    <m/>
    <m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x v="7"/>
    <n v="6"/>
    <n v="1"/>
    <n v="1"/>
    <n v="1"/>
    <m/>
    <m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x v="26"/>
    <n v="9"/>
    <n v="0"/>
    <n v="10"/>
    <n v="1"/>
    <m/>
    <m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x v="5"/>
    <n v="7"/>
    <n v="1"/>
    <n v="7"/>
    <n v="1"/>
    <m/>
    <m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x v="1"/>
    <n v="8"/>
    <n v="9"/>
    <n v="6"/>
    <n v="1"/>
    <m/>
    <m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x v="11"/>
    <n v="2"/>
    <n v="1"/>
    <n v="2"/>
    <n v="1"/>
    <m/>
    <m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x v="1"/>
    <n v="9"/>
    <n v="5"/>
    <n v="9"/>
    <n v="1"/>
    <m/>
    <m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x v="9"/>
    <n v="2"/>
    <n v="0"/>
    <n v="3"/>
    <n v="1"/>
    <m/>
    <m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x v="15"/>
    <n v="7"/>
    <n v="6"/>
    <n v="13"/>
    <n v="1"/>
    <m/>
    <m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x v="1"/>
    <n v="9"/>
    <n v="0"/>
    <n v="8"/>
    <n v="1"/>
    <m/>
    <m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x v="6"/>
    <n v="0"/>
    <n v="0"/>
    <n v="0"/>
    <n v="1"/>
    <m/>
    <m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x v="8"/>
    <n v="2"/>
    <n v="0"/>
    <n v="3"/>
    <n v="1"/>
    <m/>
    <m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x v="2"/>
    <n v="0"/>
    <n v="0"/>
    <n v="0"/>
    <n v="1"/>
    <m/>
    <m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x v="7"/>
    <n v="7"/>
    <n v="0"/>
    <n v="0"/>
    <n v="1"/>
    <m/>
    <m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x v="0"/>
    <n v="2"/>
    <n v="0"/>
    <n v="0"/>
    <n v="1"/>
    <m/>
    <m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x v="27"/>
    <n v="7"/>
    <n v="3"/>
    <n v="8"/>
    <n v="1"/>
    <m/>
    <m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x v="27"/>
    <n v="16"/>
    <n v="15"/>
    <n v="9"/>
    <n v="1"/>
    <m/>
    <m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x v="8"/>
    <n v="4"/>
    <n v="0"/>
    <n v="0"/>
    <n v="1"/>
    <m/>
    <m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x v="12"/>
    <n v="11"/>
    <n v="11"/>
    <n v="8"/>
    <n v="1"/>
    <m/>
    <m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x v="3"/>
    <n v="7"/>
    <n v="7"/>
    <n v="7"/>
    <n v="1"/>
    <m/>
    <m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x v="6"/>
    <n v="0"/>
    <n v="0"/>
    <n v="0"/>
    <n v="1"/>
    <m/>
    <m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x v="9"/>
    <n v="2"/>
    <n v="3"/>
    <n v="2"/>
    <n v="1"/>
    <m/>
    <m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x v="9"/>
    <n v="2"/>
    <n v="0"/>
    <n v="3"/>
    <n v="1"/>
    <m/>
    <m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x v="13"/>
    <n v="11"/>
    <n v="4"/>
    <n v="11"/>
    <n v="1"/>
    <m/>
    <m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x v="8"/>
    <n v="3"/>
    <n v="0"/>
    <n v="4"/>
    <n v="1"/>
    <m/>
    <m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x v="1"/>
    <n v="2"/>
    <n v="6"/>
    <n v="7"/>
    <n v="1"/>
    <m/>
    <m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x v="8"/>
    <n v="4"/>
    <n v="1"/>
    <n v="4"/>
    <n v="1"/>
    <m/>
    <m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x v="9"/>
    <n v="2"/>
    <n v="3"/>
    <n v="2"/>
    <n v="1"/>
    <m/>
    <m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x v="0"/>
    <n v="2"/>
    <n v="3"/>
    <n v="3"/>
    <n v="1"/>
    <m/>
    <m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x v="0"/>
    <n v="4"/>
    <n v="1"/>
    <n v="3"/>
    <n v="1"/>
    <m/>
    <m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x v="8"/>
    <n v="4"/>
    <n v="1"/>
    <n v="2"/>
    <n v="1"/>
    <m/>
    <m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x v="11"/>
    <n v="2"/>
    <n v="1"/>
    <n v="2"/>
    <n v="1"/>
    <m/>
    <m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x v="0"/>
    <n v="4"/>
    <n v="0"/>
    <n v="5"/>
    <n v="1"/>
    <m/>
    <m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x v="11"/>
    <n v="2"/>
    <n v="1"/>
    <n v="2"/>
    <n v="1"/>
    <m/>
    <m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x v="8"/>
    <n v="3"/>
    <n v="0"/>
    <n v="2"/>
    <n v="1"/>
    <m/>
    <m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x v="23"/>
    <n v="7"/>
    <n v="1"/>
    <n v="8"/>
    <n v="1"/>
    <m/>
    <m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x v="0"/>
    <n v="2"/>
    <n v="4"/>
    <n v="4"/>
    <n v="1"/>
    <m/>
    <m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x v="3"/>
    <n v="2"/>
    <n v="7"/>
    <n v="7"/>
    <n v="1"/>
    <m/>
    <m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x v="9"/>
    <n v="3"/>
    <n v="1"/>
    <n v="1"/>
    <n v="1"/>
    <m/>
    <m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x v="23"/>
    <n v="7"/>
    <n v="0"/>
    <n v="9"/>
    <n v="1"/>
    <m/>
    <m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x v="8"/>
    <n v="4"/>
    <n v="0"/>
    <n v="4"/>
    <n v="1"/>
    <m/>
    <m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x v="11"/>
    <n v="2"/>
    <n v="0"/>
    <n v="2"/>
    <n v="1"/>
    <m/>
    <m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x v="4"/>
    <n v="2"/>
    <n v="2"/>
    <n v="2"/>
    <n v="1"/>
    <m/>
    <m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x v="11"/>
    <n v="2"/>
    <n v="0"/>
    <n v="2"/>
    <n v="1"/>
    <m/>
    <m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x v="5"/>
    <n v="7"/>
    <n v="0"/>
    <n v="7"/>
    <n v="1"/>
    <m/>
    <m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x v="1"/>
    <n v="9"/>
    <n v="0"/>
    <n v="9"/>
    <n v="1"/>
    <m/>
    <m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x v="9"/>
    <n v="3"/>
    <n v="1"/>
    <n v="3"/>
    <n v="1"/>
    <m/>
    <m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x v="3"/>
    <n v="7"/>
    <n v="7"/>
    <n v="7"/>
    <n v="1"/>
    <m/>
    <m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x v="23"/>
    <n v="7"/>
    <n v="12"/>
    <n v="7"/>
    <n v="1"/>
    <m/>
    <m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x v="7"/>
    <n v="8"/>
    <n v="1"/>
    <n v="5"/>
    <n v="1"/>
    <m/>
    <m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x v="5"/>
    <n v="7"/>
    <n v="0"/>
    <n v="0"/>
    <n v="1"/>
    <m/>
    <m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x v="8"/>
    <n v="4"/>
    <n v="0"/>
    <n v="1"/>
    <n v="1"/>
    <m/>
    <m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x v="6"/>
    <n v="0"/>
    <n v="0"/>
    <n v="0"/>
    <n v="1"/>
    <m/>
    <m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x v="11"/>
    <n v="2"/>
    <n v="0"/>
    <n v="2"/>
    <n v="1"/>
    <m/>
    <m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x v="11"/>
    <n v="2"/>
    <n v="1"/>
    <n v="0"/>
    <n v="1"/>
    <m/>
    <m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x v="9"/>
    <n v="3"/>
    <n v="1"/>
    <n v="3"/>
    <n v="1"/>
    <m/>
    <m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x v="6"/>
    <n v="0"/>
    <n v="0"/>
    <n v="0"/>
    <n v="1"/>
    <m/>
    <m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x v="8"/>
    <n v="0"/>
    <n v="1"/>
    <n v="4"/>
    <n v="1"/>
    <m/>
    <m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x v="1"/>
    <n v="4"/>
    <n v="1"/>
    <n v="8"/>
    <n v="1"/>
    <m/>
    <m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x v="11"/>
    <n v="2"/>
    <n v="0"/>
    <n v="2"/>
    <n v="1"/>
    <m/>
    <m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x v="0"/>
    <n v="5"/>
    <n v="1"/>
    <n v="2"/>
    <n v="1"/>
    <m/>
    <m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x v="11"/>
    <n v="2"/>
    <n v="2"/>
    <n v="2"/>
    <n v="1"/>
    <m/>
    <m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x v="0"/>
    <n v="5"/>
    <n v="1"/>
    <n v="3"/>
    <n v="1"/>
    <m/>
    <m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x v="11"/>
    <n v="2"/>
    <n v="1"/>
    <n v="0"/>
    <n v="1"/>
    <m/>
    <m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x v="23"/>
    <n v="17"/>
    <n v="5"/>
    <n v="6"/>
    <n v="1"/>
    <m/>
    <m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x v="8"/>
    <n v="4"/>
    <n v="0"/>
    <n v="3"/>
    <n v="1"/>
    <m/>
    <m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x v="9"/>
    <n v="3"/>
    <n v="0"/>
    <n v="3"/>
    <n v="1"/>
    <m/>
    <m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x v="8"/>
    <n v="4"/>
    <n v="0"/>
    <n v="2"/>
    <n v="1"/>
    <m/>
    <m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x v="9"/>
    <n v="2"/>
    <n v="0"/>
    <n v="3"/>
    <n v="1"/>
    <m/>
    <m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x v="3"/>
    <n v="7"/>
    <n v="0"/>
    <n v="7"/>
    <n v="1"/>
    <m/>
    <m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x v="20"/>
    <n v="7"/>
    <n v="9"/>
    <n v="9"/>
    <n v="1"/>
    <m/>
    <m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x v="5"/>
    <n v="7"/>
    <n v="4"/>
    <n v="3"/>
    <n v="1"/>
    <m/>
    <m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x v="6"/>
    <n v="0"/>
    <n v="0"/>
    <n v="0"/>
    <n v="1"/>
    <m/>
    <m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x v="1"/>
    <n v="8"/>
    <n v="4"/>
    <n v="7"/>
    <n v="1"/>
    <m/>
    <m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x v="5"/>
    <n v="7"/>
    <n v="0"/>
    <n v="7"/>
    <n v="1"/>
    <m/>
    <m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x v="11"/>
    <n v="2"/>
    <n v="0"/>
    <n v="2"/>
    <n v="1"/>
    <m/>
    <m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x v="4"/>
    <n v="2"/>
    <n v="2"/>
    <n v="2"/>
    <n v="1"/>
    <m/>
    <m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x v="11"/>
    <n v="1"/>
    <n v="1"/>
    <n v="2"/>
    <n v="1"/>
    <m/>
    <m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x v="4"/>
    <n v="2"/>
    <n v="2"/>
    <n v="2"/>
    <n v="1"/>
    <m/>
    <m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x v="4"/>
    <n v="2"/>
    <n v="2"/>
    <n v="2"/>
    <n v="1"/>
    <m/>
    <m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x v="7"/>
    <n v="8"/>
    <n v="4"/>
    <n v="8"/>
    <n v="1"/>
    <m/>
    <m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x v="8"/>
    <n v="4"/>
    <n v="1"/>
    <n v="3"/>
    <n v="1"/>
    <m/>
    <m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x v="8"/>
    <n v="2"/>
    <n v="0"/>
    <n v="3"/>
    <n v="1"/>
    <m/>
    <m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x v="7"/>
    <n v="8"/>
    <n v="8"/>
    <n v="8"/>
    <n v="1"/>
    <m/>
    <m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x v="11"/>
    <n v="2"/>
    <n v="1"/>
    <n v="2"/>
    <n v="1"/>
    <m/>
    <m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x v="11"/>
    <n v="1"/>
    <n v="1"/>
    <n v="2"/>
    <n v="1"/>
    <m/>
    <m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x v="8"/>
    <n v="2"/>
    <n v="1"/>
    <n v="3"/>
    <n v="1"/>
    <m/>
    <m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x v="9"/>
    <n v="3"/>
    <n v="0"/>
    <n v="3"/>
    <n v="1"/>
    <m/>
    <m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x v="20"/>
    <n v="9"/>
    <n v="3"/>
    <n v="12"/>
    <n v="1"/>
    <m/>
    <m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x v="4"/>
    <n v="1"/>
    <n v="2"/>
    <n v="2"/>
    <n v="1"/>
    <m/>
    <m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x v="12"/>
    <n v="9"/>
    <n v="5"/>
    <n v="8"/>
    <n v="1"/>
    <m/>
    <m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x v="6"/>
    <n v="0"/>
    <n v="0"/>
    <n v="0"/>
    <n v="1"/>
    <m/>
    <m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x v="6"/>
    <n v="0"/>
    <n v="0"/>
    <n v="0"/>
    <n v="1"/>
    <m/>
    <m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x v="12"/>
    <n v="9"/>
    <n v="2"/>
    <n v="8"/>
    <n v="1"/>
    <m/>
    <m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x v="3"/>
    <n v="7"/>
    <n v="0"/>
    <n v="7"/>
    <n v="1"/>
    <m/>
    <m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x v="13"/>
    <n v="8"/>
    <n v="6"/>
    <n v="9"/>
    <n v="1"/>
    <m/>
    <m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x v="11"/>
    <n v="2"/>
    <n v="1"/>
    <n v="2"/>
    <n v="1"/>
    <m/>
    <m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x v="8"/>
    <n v="3"/>
    <n v="0"/>
    <n v="0"/>
    <n v="1"/>
    <m/>
    <m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x v="15"/>
    <n v="9"/>
    <n v="10"/>
    <n v="10"/>
    <n v="1"/>
    <m/>
    <m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x v="6"/>
    <n v="0"/>
    <n v="0"/>
    <n v="0"/>
    <n v="1"/>
    <m/>
    <m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x v="2"/>
    <n v="0"/>
    <n v="0"/>
    <n v="0"/>
    <n v="1"/>
    <m/>
    <m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x v="6"/>
    <n v="0"/>
    <n v="0"/>
    <n v="0"/>
    <n v="1"/>
    <m/>
    <m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x v="4"/>
    <n v="2"/>
    <n v="2"/>
    <n v="2"/>
    <n v="1"/>
    <m/>
    <m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x v="1"/>
    <n v="7"/>
    <n v="0"/>
    <n v="4"/>
    <n v="1"/>
    <m/>
    <m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x v="8"/>
    <n v="3"/>
    <n v="1"/>
    <n v="3"/>
    <n v="1"/>
    <m/>
    <m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x v="11"/>
    <n v="2"/>
    <n v="1"/>
    <n v="2"/>
    <n v="1"/>
    <m/>
    <m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x v="8"/>
    <n v="4"/>
    <n v="0"/>
    <n v="2"/>
    <n v="1"/>
    <m/>
    <m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x v="8"/>
    <n v="4"/>
    <n v="1"/>
    <n v="2"/>
    <n v="1"/>
    <m/>
    <m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x v="2"/>
    <n v="0"/>
    <n v="0"/>
    <n v="0"/>
    <n v="1"/>
    <m/>
    <m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x v="6"/>
    <n v="0"/>
    <n v="0"/>
    <n v="0"/>
    <n v="1"/>
    <m/>
    <m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x v="9"/>
    <n v="2"/>
    <n v="1"/>
    <n v="3"/>
    <n v="1"/>
    <m/>
    <m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x v="11"/>
    <n v="2"/>
    <n v="1"/>
    <n v="2"/>
    <n v="1"/>
    <m/>
    <m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x v="11"/>
    <n v="2"/>
    <n v="0"/>
    <n v="2"/>
    <n v="1"/>
    <m/>
    <m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x v="3"/>
    <n v="6"/>
    <n v="1"/>
    <n v="7"/>
    <n v="1"/>
    <m/>
    <m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x v="2"/>
    <n v="0"/>
    <n v="0"/>
    <n v="0"/>
    <n v="1"/>
    <m/>
    <m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x v="8"/>
    <n v="2"/>
    <n v="0"/>
    <n v="0"/>
    <n v="1"/>
    <m/>
    <m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x v="13"/>
    <n v="9"/>
    <n v="1"/>
    <n v="12"/>
    <n v="1"/>
    <m/>
    <m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x v="7"/>
    <n v="7"/>
    <n v="0"/>
    <n v="7"/>
    <n v="1"/>
    <m/>
    <m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x v="23"/>
    <n v="6"/>
    <n v="14"/>
    <n v="17"/>
    <n v="1"/>
    <m/>
    <m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x v="4"/>
    <n v="0"/>
    <n v="2"/>
    <n v="2"/>
    <n v="1"/>
    <m/>
    <m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x v="20"/>
    <n v="12"/>
    <n v="5"/>
    <n v="1"/>
    <n v="1"/>
    <m/>
    <m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x v="19"/>
    <n v="8"/>
    <n v="3"/>
    <n v="3"/>
    <n v="1"/>
    <m/>
    <m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x v="9"/>
    <n v="3"/>
    <n v="1"/>
    <n v="2"/>
    <n v="1"/>
    <m/>
    <m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x v="8"/>
    <n v="4"/>
    <n v="1"/>
    <n v="0"/>
    <n v="1"/>
    <m/>
    <m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x v="1"/>
    <n v="9"/>
    <n v="8"/>
    <n v="6"/>
    <n v="1"/>
    <m/>
    <m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x v="5"/>
    <n v="2"/>
    <n v="7"/>
    <n v="7"/>
    <n v="1"/>
    <m/>
    <m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x v="32"/>
    <n v="6"/>
    <n v="13"/>
    <n v="9"/>
    <n v="1"/>
    <m/>
    <m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x v="19"/>
    <n v="10"/>
    <n v="5"/>
    <n v="7"/>
    <n v="1"/>
    <m/>
    <m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x v="6"/>
    <n v="0"/>
    <n v="0"/>
    <n v="0"/>
    <n v="1"/>
    <m/>
    <m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x v="1"/>
    <n v="8"/>
    <n v="3"/>
    <n v="7"/>
    <n v="1"/>
    <m/>
    <m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x v="5"/>
    <n v="7"/>
    <n v="0"/>
    <n v="7"/>
    <n v="1"/>
    <m/>
    <m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x v="8"/>
    <n v="3"/>
    <n v="0"/>
    <n v="2"/>
    <n v="1"/>
    <m/>
    <m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x v="8"/>
    <n v="4"/>
    <n v="0"/>
    <n v="3"/>
    <n v="1"/>
    <m/>
    <m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x v="23"/>
    <n v="8"/>
    <n v="13"/>
    <n v="9"/>
    <n v="1"/>
    <m/>
    <m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x v="3"/>
    <n v="4"/>
    <n v="7"/>
    <n v="1"/>
    <n v="1"/>
    <m/>
    <m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x v="15"/>
    <n v="14"/>
    <n v="5"/>
    <n v="7"/>
    <n v="1"/>
    <m/>
    <m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x v="17"/>
    <n v="7"/>
    <n v="7"/>
    <n v="7"/>
    <n v="1"/>
    <m/>
    <m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x v="6"/>
    <n v="1"/>
    <n v="0"/>
    <n v="0"/>
    <n v="1"/>
    <m/>
    <m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x v="4"/>
    <n v="2"/>
    <n v="2"/>
    <n v="2"/>
    <n v="1"/>
    <m/>
    <m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x v="1"/>
    <n v="8"/>
    <n v="7"/>
    <n v="7"/>
    <n v="1"/>
    <m/>
    <m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x v="8"/>
    <n v="3"/>
    <n v="4"/>
    <n v="2"/>
    <n v="1"/>
    <m/>
    <m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x v="5"/>
    <n v="1"/>
    <n v="2"/>
    <n v="5"/>
    <n v="1"/>
    <m/>
    <m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x v="11"/>
    <n v="2"/>
    <n v="1"/>
    <n v="2"/>
    <n v="1"/>
    <m/>
    <m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x v="3"/>
    <n v="7"/>
    <n v="7"/>
    <n v="7"/>
    <n v="1"/>
    <m/>
    <m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x v="6"/>
    <n v="0"/>
    <n v="0"/>
    <n v="0"/>
    <n v="1"/>
    <m/>
    <m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x v="4"/>
    <n v="2"/>
    <n v="2"/>
    <n v="2"/>
    <n v="1"/>
    <m/>
    <m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x v="1"/>
    <n v="8"/>
    <n v="6"/>
    <n v="7"/>
    <n v="1"/>
    <m/>
    <m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x v="0"/>
    <n v="3"/>
    <n v="1"/>
    <n v="2"/>
    <n v="1"/>
    <m/>
    <m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x v="11"/>
    <n v="0"/>
    <n v="1"/>
    <n v="2"/>
    <n v="1"/>
    <m/>
    <m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x v="9"/>
    <n v="2"/>
    <n v="1"/>
    <n v="3"/>
    <n v="1"/>
    <m/>
    <m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x v="6"/>
    <n v="0"/>
    <n v="0"/>
    <n v="0"/>
    <n v="1"/>
    <m/>
    <m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x v="26"/>
    <n v="7"/>
    <n v="1"/>
    <n v="9"/>
    <n v="1"/>
    <m/>
    <m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x v="8"/>
    <n v="2"/>
    <n v="1"/>
    <n v="4"/>
    <n v="1"/>
    <m/>
    <m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x v="0"/>
    <n v="5"/>
    <n v="1"/>
    <n v="2"/>
    <n v="1"/>
    <m/>
    <m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x v="3"/>
    <n v="2"/>
    <n v="7"/>
    <n v="6"/>
    <n v="1"/>
    <m/>
    <m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x v="6"/>
    <n v="0"/>
    <n v="0"/>
    <n v="0"/>
    <n v="1"/>
    <m/>
    <m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x v="28"/>
    <n v="6"/>
    <n v="2"/>
    <n v="13"/>
    <n v="1"/>
    <m/>
    <m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x v="4"/>
    <n v="2"/>
    <n v="2"/>
    <n v="1"/>
    <n v="1"/>
    <m/>
    <m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x v="6"/>
    <n v="0"/>
    <n v="0"/>
    <n v="0"/>
    <n v="1"/>
    <m/>
    <m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x v="7"/>
    <n v="8"/>
    <n v="7"/>
    <n v="7"/>
    <n v="1"/>
    <m/>
    <m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x v="11"/>
    <n v="2"/>
    <n v="1"/>
    <n v="2"/>
    <n v="1"/>
    <m/>
    <m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x v="6"/>
    <n v="0"/>
    <n v="0"/>
    <n v="0"/>
    <n v="1"/>
    <m/>
    <m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x v="1"/>
    <n v="9"/>
    <n v="1"/>
    <n v="5"/>
    <n v="1"/>
    <m/>
    <m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x v="8"/>
    <n v="2"/>
    <n v="0"/>
    <n v="4"/>
    <n v="1"/>
    <m/>
    <m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x v="5"/>
    <n v="6"/>
    <n v="7"/>
    <n v="6"/>
    <n v="1"/>
    <m/>
    <m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x v="0"/>
    <n v="4"/>
    <n v="1"/>
    <n v="3"/>
    <n v="1"/>
    <m/>
    <m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x v="6"/>
    <n v="0"/>
    <n v="0"/>
    <n v="0"/>
    <n v="1"/>
    <m/>
    <m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x v="4"/>
    <n v="2"/>
    <n v="2"/>
    <n v="2"/>
    <n v="1"/>
    <m/>
    <m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x v="11"/>
    <n v="2"/>
    <n v="0"/>
    <n v="2"/>
    <n v="1"/>
    <m/>
    <m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x v="6"/>
    <n v="0"/>
    <n v="0"/>
    <n v="1"/>
    <n v="1"/>
    <m/>
    <m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x v="1"/>
    <n v="9"/>
    <n v="6"/>
    <n v="8"/>
    <n v="1"/>
    <m/>
    <m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x v="3"/>
    <n v="2"/>
    <n v="7"/>
    <n v="7"/>
    <n v="1"/>
    <m/>
    <m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x v="8"/>
    <n v="4"/>
    <n v="1"/>
    <n v="2"/>
    <n v="1"/>
    <m/>
    <m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x v="0"/>
    <n v="4"/>
    <n v="0"/>
    <n v="2"/>
    <n v="1"/>
    <m/>
    <m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x v="6"/>
    <n v="0"/>
    <n v="0"/>
    <n v="1"/>
    <n v="1"/>
    <m/>
    <m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x v="34"/>
    <n v="0"/>
    <n v="0"/>
    <n v="12"/>
    <n v="1"/>
    <m/>
    <m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x v="6"/>
    <n v="1"/>
    <n v="0"/>
    <n v="0"/>
    <n v="1"/>
    <m/>
    <m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x v="9"/>
    <n v="2"/>
    <n v="1"/>
    <n v="3"/>
    <n v="1"/>
    <m/>
    <m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x v="35"/>
    <n v="8"/>
    <n v="12"/>
    <n v="13"/>
    <n v="1"/>
    <m/>
    <m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x v="11"/>
    <n v="2"/>
    <n v="0"/>
    <n v="2"/>
    <n v="1"/>
    <m/>
    <m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x v="14"/>
    <n v="7"/>
    <n v="1"/>
    <n v="10"/>
    <n v="1"/>
    <m/>
    <m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x v="0"/>
    <n v="4"/>
    <n v="1"/>
    <n v="1"/>
    <n v="1"/>
    <m/>
    <m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x v="1"/>
    <n v="7"/>
    <n v="1"/>
    <n v="4"/>
    <n v="1"/>
    <m/>
    <m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x v="1"/>
    <n v="7"/>
    <n v="4"/>
    <n v="5"/>
    <n v="1"/>
    <m/>
    <m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x v="8"/>
    <n v="2"/>
    <n v="0"/>
    <n v="3"/>
    <n v="1"/>
    <m/>
    <m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x v="11"/>
    <n v="2"/>
    <n v="1"/>
    <n v="1"/>
    <n v="1"/>
    <m/>
    <m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x v="7"/>
    <n v="7"/>
    <n v="7"/>
    <n v="2"/>
    <n v="1"/>
    <m/>
    <m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x v="7"/>
    <n v="6"/>
    <n v="1"/>
    <n v="4"/>
    <n v="1"/>
    <m/>
    <m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x v="5"/>
    <n v="7"/>
    <n v="7"/>
    <n v="7"/>
    <n v="1"/>
    <m/>
    <m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x v="5"/>
    <n v="7"/>
    <n v="0"/>
    <n v="7"/>
    <n v="1"/>
    <m/>
    <m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x v="22"/>
    <n v="15"/>
    <n v="1"/>
    <n v="10"/>
    <n v="1"/>
    <m/>
    <m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x v="8"/>
    <n v="3"/>
    <n v="0"/>
    <n v="0"/>
    <n v="1"/>
    <m/>
    <m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x v="4"/>
    <n v="2"/>
    <n v="2"/>
    <n v="2"/>
    <n v="1"/>
    <m/>
    <m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x v="2"/>
    <n v="0"/>
    <n v="0"/>
    <n v="0"/>
    <n v="1"/>
    <m/>
    <m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x v="8"/>
    <n v="2"/>
    <n v="1"/>
    <n v="0"/>
    <n v="1"/>
    <m/>
    <m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x v="1"/>
    <n v="8"/>
    <n v="0"/>
    <n v="7"/>
    <n v="1"/>
    <m/>
    <m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x v="29"/>
    <n v="15"/>
    <n v="14"/>
    <n v="12"/>
    <n v="1"/>
    <m/>
    <m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x v="13"/>
    <n v="11"/>
    <n v="2"/>
    <n v="9"/>
    <n v="1"/>
    <m/>
    <m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x v="9"/>
    <n v="3"/>
    <n v="0"/>
    <n v="2"/>
    <n v="1"/>
    <m/>
    <m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x v="7"/>
    <n v="2"/>
    <n v="3"/>
    <n v="8"/>
    <n v="1"/>
    <m/>
    <m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x v="1"/>
    <n v="7"/>
    <n v="3"/>
    <n v="9"/>
    <n v="1"/>
    <m/>
    <m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x v="8"/>
    <n v="4"/>
    <n v="0"/>
    <n v="2"/>
    <n v="1"/>
    <m/>
    <m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x v="20"/>
    <n v="12"/>
    <n v="6"/>
    <n v="0"/>
    <n v="1"/>
    <m/>
    <m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x v="3"/>
    <n v="4"/>
    <n v="7"/>
    <n v="7"/>
    <n v="1"/>
    <m/>
    <m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x v="9"/>
    <n v="2"/>
    <n v="3"/>
    <n v="3"/>
    <n v="1"/>
    <m/>
    <m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x v="1"/>
    <n v="7"/>
    <n v="0"/>
    <n v="2"/>
    <n v="1"/>
    <m/>
    <m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x v="4"/>
    <n v="2"/>
    <n v="2"/>
    <n v="2"/>
    <n v="1"/>
    <m/>
    <m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x v="4"/>
    <n v="2"/>
    <n v="2"/>
    <n v="2"/>
    <n v="1"/>
    <m/>
    <m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x v="0"/>
    <n v="3"/>
    <n v="1"/>
    <n v="3"/>
    <n v="1"/>
    <m/>
    <m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x v="11"/>
    <n v="2"/>
    <n v="0"/>
    <n v="2"/>
    <n v="1"/>
    <m/>
    <m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x v="9"/>
    <n v="2"/>
    <n v="1"/>
    <n v="2"/>
    <n v="1"/>
    <m/>
    <m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x v="9"/>
    <n v="2"/>
    <n v="0"/>
    <n v="3"/>
    <n v="1"/>
    <m/>
    <m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x v="8"/>
    <n v="2"/>
    <n v="1"/>
    <n v="4"/>
    <n v="1"/>
    <m/>
    <m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x v="11"/>
    <n v="2"/>
    <n v="0"/>
    <n v="2"/>
    <n v="1"/>
    <m/>
    <m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x v="5"/>
    <n v="7"/>
    <n v="0"/>
    <n v="7"/>
    <n v="1"/>
    <m/>
    <m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x v="8"/>
    <n v="4"/>
    <n v="1"/>
    <n v="0"/>
    <n v="1"/>
    <m/>
    <m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x v="9"/>
    <n v="2"/>
    <n v="1"/>
    <n v="2"/>
    <n v="1"/>
    <m/>
    <m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x v="13"/>
    <n v="11"/>
    <n v="1"/>
    <n v="11"/>
    <n v="1"/>
    <m/>
    <m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x v="4"/>
    <n v="2"/>
    <n v="2"/>
    <n v="2"/>
    <n v="1"/>
    <m/>
    <m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x v="19"/>
    <n v="8"/>
    <n v="7"/>
    <n v="9"/>
    <n v="1"/>
    <m/>
    <m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x v="9"/>
    <n v="3"/>
    <n v="1"/>
    <n v="3"/>
    <n v="1"/>
    <m/>
    <m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x v="15"/>
    <n v="11"/>
    <n v="2"/>
    <n v="12"/>
    <n v="1"/>
    <m/>
    <m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x v="11"/>
    <n v="2"/>
    <n v="1"/>
    <n v="2"/>
    <n v="1"/>
    <m/>
    <m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x v="8"/>
    <n v="4"/>
    <n v="0"/>
    <n v="4"/>
    <n v="1"/>
    <m/>
    <m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x v="1"/>
    <n v="8"/>
    <n v="4"/>
    <n v="7"/>
    <n v="1"/>
    <m/>
    <m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x v="13"/>
    <n v="10"/>
    <n v="6"/>
    <n v="11"/>
    <n v="1"/>
    <m/>
    <m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x v="19"/>
    <n v="9"/>
    <n v="6"/>
    <n v="7"/>
    <n v="1"/>
    <m/>
    <m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x v="20"/>
    <n v="11"/>
    <n v="2"/>
    <n v="9"/>
    <n v="1"/>
    <m/>
    <m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x v="1"/>
    <n v="0"/>
    <n v="0"/>
    <n v="9"/>
    <n v="1"/>
    <m/>
    <m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x v="0"/>
    <n v="2"/>
    <n v="0"/>
    <n v="4"/>
    <n v="1"/>
    <m/>
    <m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x v="7"/>
    <n v="5"/>
    <n v="1"/>
    <n v="6"/>
    <n v="1"/>
    <m/>
    <m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x v="1"/>
    <n v="0"/>
    <n v="0"/>
    <n v="2"/>
    <n v="1"/>
    <m/>
    <m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x v="4"/>
    <n v="2"/>
    <n v="2"/>
    <n v="2"/>
    <n v="1"/>
    <m/>
    <m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x v="9"/>
    <n v="3"/>
    <n v="3"/>
    <n v="3"/>
    <n v="1"/>
    <m/>
    <m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x v="11"/>
    <n v="2"/>
    <n v="1"/>
    <n v="2"/>
    <n v="1"/>
    <m/>
    <m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x v="3"/>
    <n v="7"/>
    <n v="0"/>
    <n v="0"/>
    <n v="1"/>
    <m/>
    <m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x v="4"/>
    <n v="0"/>
    <n v="0"/>
    <n v="2"/>
    <n v="1"/>
    <m/>
    <m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x v="4"/>
    <n v="2"/>
    <n v="0"/>
    <n v="2"/>
    <n v="1"/>
    <m/>
    <m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x v="0"/>
    <n v="5"/>
    <n v="1"/>
    <n v="2"/>
    <n v="1"/>
    <m/>
    <m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x v="11"/>
    <n v="2"/>
    <n v="0"/>
    <n v="2"/>
    <n v="1"/>
    <m/>
    <m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x v="4"/>
    <n v="2"/>
    <n v="2"/>
    <n v="2"/>
    <n v="1"/>
    <m/>
    <m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x v="8"/>
    <n v="4"/>
    <n v="1"/>
    <n v="2"/>
    <n v="1"/>
    <m/>
    <m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x v="2"/>
    <n v="0"/>
    <n v="0"/>
    <n v="0"/>
    <n v="1"/>
    <m/>
    <m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x v="9"/>
    <n v="3"/>
    <n v="1"/>
    <n v="2"/>
    <n v="1"/>
    <m/>
    <m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x v="7"/>
    <n v="7"/>
    <n v="7"/>
    <n v="7"/>
    <n v="1"/>
    <m/>
    <m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x v="6"/>
    <n v="0"/>
    <n v="0"/>
    <n v="0"/>
    <n v="1"/>
    <m/>
    <m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x v="5"/>
    <n v="7"/>
    <n v="5"/>
    <n v="7"/>
    <n v="1"/>
    <m/>
    <m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x v="9"/>
    <n v="2"/>
    <n v="1"/>
    <n v="2"/>
    <n v="1"/>
    <m/>
    <m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x v="15"/>
    <n v="10"/>
    <n v="4"/>
    <n v="13"/>
    <n v="1"/>
    <m/>
    <m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x v="6"/>
    <n v="0"/>
    <n v="0"/>
    <n v="0"/>
    <n v="1"/>
    <m/>
    <m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x v="13"/>
    <n v="11"/>
    <n v="2"/>
    <n v="13"/>
    <n v="1"/>
    <m/>
    <m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x v="0"/>
    <n v="3"/>
    <n v="1"/>
    <n v="3"/>
    <n v="1"/>
    <m/>
    <m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x v="1"/>
    <n v="9"/>
    <n v="8"/>
    <n v="7"/>
    <n v="1"/>
    <m/>
    <m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x v="11"/>
    <n v="2"/>
    <n v="0"/>
    <n v="2"/>
    <n v="1"/>
    <m/>
    <m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x v="3"/>
    <n v="7"/>
    <n v="6"/>
    <n v="7"/>
    <n v="1"/>
    <m/>
    <m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x v="8"/>
    <n v="4"/>
    <n v="1"/>
    <n v="4"/>
    <n v="1"/>
    <m/>
    <m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x v="1"/>
    <n v="9"/>
    <n v="8"/>
    <n v="8"/>
    <n v="1"/>
    <m/>
    <m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x v="8"/>
    <n v="3"/>
    <n v="0"/>
    <n v="4"/>
    <n v="1"/>
    <m/>
    <m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x v="1"/>
    <n v="8"/>
    <n v="8"/>
    <n v="7"/>
    <n v="1"/>
    <m/>
    <m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x v="8"/>
    <n v="3"/>
    <n v="1"/>
    <n v="2"/>
    <n v="1"/>
    <m/>
    <m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x v="20"/>
    <n v="7"/>
    <n v="6"/>
    <n v="7"/>
    <n v="1"/>
    <m/>
    <m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x v="36"/>
    <n v="15"/>
    <n v="14"/>
    <n v="4"/>
    <n v="1"/>
    <m/>
    <m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x v="6"/>
    <n v="0"/>
    <n v="0"/>
    <n v="0"/>
    <n v="1"/>
    <m/>
    <m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x v="36"/>
    <n v="5"/>
    <n v="14"/>
    <n v="10"/>
    <n v="1"/>
    <m/>
    <m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x v="11"/>
    <n v="2"/>
    <n v="0"/>
    <n v="2"/>
    <n v="1"/>
    <m/>
    <m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x v="17"/>
    <n v="6"/>
    <n v="8"/>
    <n v="6"/>
    <n v="1"/>
    <m/>
    <m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x v="8"/>
    <n v="2"/>
    <n v="1"/>
    <n v="3"/>
    <n v="1"/>
    <m/>
    <m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x v="8"/>
    <n v="2"/>
    <n v="0"/>
    <n v="3"/>
    <n v="1"/>
    <m/>
    <m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x v="11"/>
    <n v="2"/>
    <n v="1"/>
    <n v="2"/>
    <n v="1"/>
    <m/>
    <m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x v="6"/>
    <n v="0"/>
    <n v="0"/>
    <n v="0"/>
    <n v="1"/>
    <m/>
    <m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x v="0"/>
    <n v="2"/>
    <n v="1"/>
    <n v="2"/>
    <n v="1"/>
    <m/>
    <m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x v="1"/>
    <n v="7"/>
    <n v="0"/>
    <n v="9"/>
    <n v="1"/>
    <m/>
    <m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x v="5"/>
    <n v="7"/>
    <n v="0"/>
    <n v="7"/>
    <n v="1"/>
    <m/>
    <m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x v="1"/>
    <n v="0"/>
    <n v="0"/>
    <n v="8"/>
    <n v="1"/>
    <m/>
    <m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x v="6"/>
    <n v="0"/>
    <n v="0"/>
    <n v="0"/>
    <n v="1"/>
    <m/>
    <m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x v="1"/>
    <n v="6"/>
    <n v="0"/>
    <n v="3"/>
    <n v="1"/>
    <m/>
    <m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x v="4"/>
    <n v="2"/>
    <n v="2"/>
    <n v="2"/>
    <n v="1"/>
    <m/>
    <m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x v="2"/>
    <n v="0"/>
    <n v="0"/>
    <n v="0"/>
    <n v="1"/>
    <m/>
    <m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x v="11"/>
    <n v="2"/>
    <n v="1"/>
    <n v="2"/>
    <n v="1"/>
    <m/>
    <m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x v="8"/>
    <n v="4"/>
    <n v="1"/>
    <n v="4"/>
    <n v="1"/>
    <m/>
    <m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x v="7"/>
    <n v="8"/>
    <n v="5"/>
    <n v="8"/>
    <n v="1"/>
    <m/>
    <m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x v="9"/>
    <n v="3"/>
    <n v="0"/>
    <n v="2"/>
    <n v="1"/>
    <m/>
    <m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x v="17"/>
    <n v="8"/>
    <n v="12"/>
    <n v="8"/>
    <n v="1"/>
    <m/>
    <m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x v="8"/>
    <n v="0"/>
    <n v="0"/>
    <n v="3"/>
    <n v="1"/>
    <m/>
    <m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x v="7"/>
    <n v="7"/>
    <n v="0"/>
    <n v="7"/>
    <n v="1"/>
    <m/>
    <m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x v="4"/>
    <n v="2"/>
    <n v="2"/>
    <n v="1"/>
    <n v="1"/>
    <m/>
    <m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x v="9"/>
    <n v="2"/>
    <n v="1"/>
    <n v="2"/>
    <n v="1"/>
    <m/>
    <m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x v="8"/>
    <n v="2"/>
    <n v="0"/>
    <n v="2"/>
    <n v="1"/>
    <m/>
    <m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x v="0"/>
    <n v="2"/>
    <n v="1"/>
    <n v="4"/>
    <n v="1"/>
    <m/>
    <m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x v="4"/>
    <n v="2"/>
    <n v="2"/>
    <n v="2"/>
    <n v="1"/>
    <m/>
    <m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x v="11"/>
    <n v="2"/>
    <n v="0"/>
    <n v="2"/>
    <n v="1"/>
    <m/>
    <m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x v="5"/>
    <n v="7"/>
    <n v="1"/>
    <n v="7"/>
    <n v="1"/>
    <m/>
    <m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x v="8"/>
    <n v="0"/>
    <n v="1"/>
    <n v="2"/>
    <n v="1"/>
    <m/>
    <m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x v="19"/>
    <n v="7"/>
    <n v="1"/>
    <n v="7"/>
    <n v="1"/>
    <m/>
    <m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x v="8"/>
    <n v="1"/>
    <n v="0"/>
    <n v="4"/>
    <n v="1"/>
    <m/>
    <m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x v="2"/>
    <n v="0"/>
    <n v="0"/>
    <n v="0"/>
    <n v="1"/>
    <m/>
    <m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x v="0"/>
    <n v="1"/>
    <n v="0"/>
    <n v="5"/>
    <n v="1"/>
    <m/>
    <m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x v="6"/>
    <n v="0"/>
    <n v="0"/>
    <n v="0"/>
    <n v="1"/>
    <m/>
    <m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x v="6"/>
    <n v="0"/>
    <n v="0"/>
    <n v="0"/>
    <n v="1"/>
    <m/>
    <m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x v="5"/>
    <n v="0"/>
    <n v="1"/>
    <n v="7"/>
    <n v="1"/>
    <m/>
    <m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x v="5"/>
    <n v="7"/>
    <n v="0"/>
    <n v="7"/>
    <n v="1"/>
    <m/>
    <m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x v="6"/>
    <n v="0"/>
    <n v="1"/>
    <n v="0"/>
    <n v="1"/>
    <m/>
    <m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x v="6"/>
    <n v="0"/>
    <n v="0"/>
    <n v="0"/>
    <n v="1"/>
    <m/>
    <m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x v="8"/>
    <n v="3"/>
    <n v="0"/>
    <n v="4"/>
    <n v="1"/>
    <m/>
    <m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x v="6"/>
    <n v="0"/>
    <n v="0"/>
    <n v="0"/>
    <n v="1"/>
    <m/>
    <m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x v="7"/>
    <n v="8"/>
    <n v="1"/>
    <n v="7"/>
    <n v="1"/>
    <m/>
    <m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x v="8"/>
    <n v="3"/>
    <n v="0"/>
    <n v="4"/>
    <n v="1"/>
    <m/>
    <m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x v="15"/>
    <n v="14"/>
    <n v="0"/>
    <n v="7"/>
    <n v="1"/>
    <m/>
    <m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x v="11"/>
    <n v="2"/>
    <n v="0"/>
    <n v="2"/>
    <n v="1"/>
    <m/>
    <m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x v="7"/>
    <n v="7"/>
    <n v="1"/>
    <n v="8"/>
    <n v="1"/>
    <m/>
    <m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x v="4"/>
    <n v="2"/>
    <n v="2"/>
    <n v="2"/>
    <n v="1"/>
    <m/>
    <m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x v="6"/>
    <n v="0"/>
    <n v="1"/>
    <n v="0"/>
    <n v="1"/>
    <m/>
    <m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x v="8"/>
    <n v="4"/>
    <n v="0"/>
    <n v="4"/>
    <n v="1"/>
    <m/>
    <m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x v="6"/>
    <n v="0"/>
    <n v="0"/>
    <n v="0"/>
    <n v="1"/>
    <m/>
    <m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x v="12"/>
    <n v="7"/>
    <n v="5"/>
    <n v="7"/>
    <n v="1"/>
    <m/>
    <m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x v="4"/>
    <n v="2"/>
    <n v="2"/>
    <n v="2"/>
    <n v="1"/>
    <m/>
    <m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x v="8"/>
    <n v="2"/>
    <n v="0"/>
    <n v="3"/>
    <n v="1"/>
    <m/>
    <m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x v="4"/>
    <n v="1"/>
    <n v="2"/>
    <n v="2"/>
    <n v="1"/>
    <m/>
    <m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x v="12"/>
    <n v="8"/>
    <n v="5"/>
    <n v="7"/>
    <n v="1"/>
    <m/>
    <m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x v="8"/>
    <n v="3"/>
    <n v="2"/>
    <n v="3"/>
    <n v="1"/>
    <m/>
    <m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x v="1"/>
    <n v="0"/>
    <n v="4"/>
    <n v="7"/>
    <n v="1"/>
    <m/>
    <m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x v="1"/>
    <n v="7"/>
    <n v="7"/>
    <n v="7"/>
    <n v="1"/>
    <m/>
    <m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x v="1"/>
    <n v="8"/>
    <n v="7"/>
    <n v="6"/>
    <n v="1"/>
    <m/>
    <m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x v="8"/>
    <n v="3"/>
    <n v="0"/>
    <n v="3"/>
    <n v="1"/>
    <m/>
    <m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x v="9"/>
    <n v="3"/>
    <n v="2"/>
    <n v="2"/>
    <n v="1"/>
    <m/>
    <m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x v="4"/>
    <n v="2"/>
    <n v="2"/>
    <n v="2"/>
    <n v="1"/>
    <m/>
    <m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x v="9"/>
    <n v="3"/>
    <n v="0"/>
    <n v="2"/>
    <n v="1"/>
    <m/>
    <m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x v="2"/>
    <n v="0"/>
    <n v="0"/>
    <n v="0"/>
    <n v="1"/>
    <m/>
    <m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x v="5"/>
    <n v="7"/>
    <n v="1"/>
    <n v="7"/>
    <n v="1"/>
    <m/>
    <m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x v="19"/>
    <n v="10"/>
    <n v="3"/>
    <n v="8"/>
    <n v="1"/>
    <m/>
    <m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x v="5"/>
    <n v="1"/>
    <n v="0"/>
    <n v="7"/>
    <n v="1"/>
    <m/>
    <m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x v="1"/>
    <n v="3"/>
    <n v="0"/>
    <n v="8"/>
    <n v="1"/>
    <m/>
    <m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x v="4"/>
    <n v="1"/>
    <n v="2"/>
    <n v="2"/>
    <n v="1"/>
    <m/>
    <m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x v="11"/>
    <n v="2"/>
    <n v="1"/>
    <n v="2"/>
    <n v="1"/>
    <m/>
    <m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x v="11"/>
    <n v="2"/>
    <n v="1"/>
    <n v="2"/>
    <n v="1"/>
    <m/>
    <m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x v="14"/>
    <n v="14"/>
    <n v="13"/>
    <n v="5"/>
    <n v="1"/>
    <m/>
    <m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x v="5"/>
    <n v="7"/>
    <n v="0"/>
    <n v="2"/>
    <n v="1"/>
    <m/>
    <m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x v="8"/>
    <n v="1"/>
    <n v="1"/>
    <n v="4"/>
    <n v="1"/>
    <m/>
    <m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x v="7"/>
    <n v="7"/>
    <n v="3"/>
    <n v="7"/>
    <n v="1"/>
    <m/>
    <m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x v="8"/>
    <n v="3"/>
    <n v="0"/>
    <n v="3"/>
    <n v="1"/>
    <m/>
    <m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x v="1"/>
    <n v="8"/>
    <n v="4"/>
    <n v="8"/>
    <n v="1"/>
    <m/>
    <m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x v="22"/>
    <n v="9"/>
    <n v="14"/>
    <n v="14"/>
    <n v="1"/>
    <m/>
    <m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x v="8"/>
    <n v="4"/>
    <n v="0"/>
    <n v="3"/>
    <n v="1"/>
    <m/>
    <m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x v="14"/>
    <n v="11"/>
    <n v="14"/>
    <n v="10"/>
    <n v="1"/>
    <m/>
    <m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x v="5"/>
    <n v="4"/>
    <n v="7"/>
    <n v="7"/>
    <n v="1"/>
    <m/>
    <m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x v="5"/>
    <n v="1"/>
    <n v="1"/>
    <n v="7"/>
    <n v="1"/>
    <m/>
    <m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x v="11"/>
    <n v="2"/>
    <n v="2"/>
    <n v="2"/>
    <n v="1"/>
    <m/>
    <m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x v="11"/>
    <n v="2"/>
    <n v="1"/>
    <n v="2"/>
    <n v="1"/>
    <m/>
    <m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x v="9"/>
    <n v="2"/>
    <n v="0"/>
    <n v="3"/>
    <n v="1"/>
    <m/>
    <m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x v="8"/>
    <n v="3"/>
    <n v="1"/>
    <n v="2"/>
    <n v="1"/>
    <m/>
    <m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x v="4"/>
    <n v="2"/>
    <n v="2"/>
    <n v="2"/>
    <n v="1"/>
    <m/>
    <m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x v="2"/>
    <n v="0"/>
    <n v="0"/>
    <n v="0"/>
    <n v="1"/>
    <m/>
    <m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x v="6"/>
    <n v="0"/>
    <n v="0"/>
    <n v="0"/>
    <n v="1"/>
    <m/>
    <m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x v="4"/>
    <n v="2"/>
    <n v="2"/>
    <n v="0"/>
    <n v="1"/>
    <m/>
    <m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x v="3"/>
    <n v="7"/>
    <n v="5"/>
    <n v="7"/>
    <n v="1"/>
    <m/>
    <m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x v="6"/>
    <n v="0"/>
    <n v="0"/>
    <n v="0"/>
    <n v="1"/>
    <m/>
    <m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x v="5"/>
    <n v="7"/>
    <n v="7"/>
    <n v="7"/>
    <n v="1"/>
    <m/>
    <m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x v="8"/>
    <n v="4"/>
    <n v="0"/>
    <n v="2"/>
    <n v="1"/>
    <m/>
    <m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x v="19"/>
    <n v="8"/>
    <n v="3"/>
    <n v="10"/>
    <n v="1"/>
    <m/>
    <m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x v="2"/>
    <n v="0"/>
    <n v="0"/>
    <n v="0"/>
    <n v="1"/>
    <m/>
    <m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x v="0"/>
    <n v="3"/>
    <n v="3"/>
    <n v="3"/>
    <n v="1"/>
    <m/>
    <m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x v="4"/>
    <n v="2"/>
    <n v="2"/>
    <n v="0"/>
    <n v="1"/>
    <m/>
    <m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x v="7"/>
    <n v="8"/>
    <n v="4"/>
    <n v="7"/>
    <n v="1"/>
    <m/>
    <m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x v="11"/>
    <n v="2"/>
    <n v="2"/>
    <n v="2"/>
    <n v="1"/>
    <m/>
    <m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x v="5"/>
    <n v="0"/>
    <n v="1"/>
    <n v="6"/>
    <n v="1"/>
    <m/>
    <m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x v="2"/>
    <n v="0"/>
    <n v="0"/>
    <n v="0"/>
    <n v="1"/>
    <m/>
    <m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x v="4"/>
    <n v="2"/>
    <n v="2"/>
    <n v="2"/>
    <n v="1"/>
    <m/>
    <m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x v="27"/>
    <n v="17"/>
    <n v="2"/>
    <n v="8"/>
    <n v="1"/>
    <m/>
    <m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x v="7"/>
    <n v="8"/>
    <n v="5"/>
    <n v="8"/>
    <n v="1"/>
    <m/>
    <m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x v="6"/>
    <n v="0"/>
    <n v="0"/>
    <n v="0"/>
    <n v="1"/>
    <m/>
    <m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x v="22"/>
    <n v="12"/>
    <n v="6"/>
    <n v="14"/>
    <n v="1"/>
    <m/>
    <m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x v="14"/>
    <n v="10"/>
    <n v="12"/>
    <n v="9"/>
    <n v="1"/>
    <m/>
    <m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x v="6"/>
    <n v="0"/>
    <n v="1"/>
    <n v="0"/>
    <n v="1"/>
    <m/>
    <m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x v="3"/>
    <n v="7"/>
    <n v="0"/>
    <n v="7"/>
    <n v="1"/>
    <m/>
    <m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x v="5"/>
    <n v="6"/>
    <n v="7"/>
    <n v="3"/>
    <n v="1"/>
    <m/>
    <m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x v="4"/>
    <n v="2"/>
    <n v="2"/>
    <n v="2"/>
    <n v="1"/>
    <m/>
    <m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x v="8"/>
    <n v="2"/>
    <n v="0"/>
    <n v="4"/>
    <n v="1"/>
    <m/>
    <m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x v="6"/>
    <n v="0"/>
    <n v="0"/>
    <n v="0"/>
    <n v="1"/>
    <m/>
    <m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x v="6"/>
    <n v="0"/>
    <n v="0"/>
    <n v="0"/>
    <n v="1"/>
    <m/>
    <m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x v="6"/>
    <n v="0"/>
    <n v="0"/>
    <n v="0"/>
    <n v="1"/>
    <m/>
    <m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x v="1"/>
    <n v="9"/>
    <n v="1"/>
    <n v="7"/>
    <n v="1"/>
    <m/>
    <m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x v="1"/>
    <n v="8"/>
    <n v="0"/>
    <n v="2"/>
    <n v="1"/>
    <m/>
    <m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x v="8"/>
    <n v="3"/>
    <n v="1"/>
    <n v="0"/>
    <n v="1"/>
    <m/>
    <m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x v="11"/>
    <n v="2"/>
    <n v="1"/>
    <n v="2"/>
    <n v="1"/>
    <m/>
    <m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x v="8"/>
    <n v="3"/>
    <n v="0"/>
    <n v="4"/>
    <n v="1"/>
    <m/>
    <m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x v="11"/>
    <n v="2"/>
    <n v="0"/>
    <n v="2"/>
    <n v="1"/>
    <m/>
    <m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x v="7"/>
    <n v="8"/>
    <n v="3"/>
    <n v="8"/>
    <n v="1"/>
    <m/>
    <m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x v="1"/>
    <n v="1"/>
    <n v="0"/>
    <n v="8"/>
    <n v="1"/>
    <m/>
    <m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x v="27"/>
    <n v="7"/>
    <n v="11"/>
    <n v="16"/>
    <n v="1"/>
    <m/>
    <m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x v="6"/>
    <n v="0"/>
    <n v="1"/>
    <n v="0"/>
    <n v="1"/>
    <m/>
    <m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x v="3"/>
    <n v="7"/>
    <n v="0"/>
    <n v="7"/>
    <n v="1"/>
    <m/>
    <m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x v="14"/>
    <n v="17"/>
    <n v="4"/>
    <n v="7"/>
    <n v="1"/>
    <m/>
    <m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x v="4"/>
    <n v="0"/>
    <n v="2"/>
    <n v="2"/>
    <n v="1"/>
    <m/>
    <m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x v="8"/>
    <n v="2"/>
    <n v="3"/>
    <n v="0"/>
    <n v="1"/>
    <m/>
    <m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x v="9"/>
    <n v="2"/>
    <n v="1"/>
    <n v="0"/>
    <n v="1"/>
    <m/>
    <m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x v="9"/>
    <n v="2"/>
    <n v="1"/>
    <n v="3"/>
    <n v="1"/>
    <m/>
    <m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x v="8"/>
    <n v="4"/>
    <n v="1"/>
    <n v="4"/>
    <n v="1"/>
    <m/>
    <m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x v="20"/>
    <n v="7"/>
    <n v="5"/>
    <n v="7"/>
    <n v="1"/>
    <m/>
    <m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x v="8"/>
    <n v="2"/>
    <n v="1"/>
    <n v="4"/>
    <n v="1"/>
    <m/>
    <m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x v="9"/>
    <n v="2"/>
    <n v="0"/>
    <n v="1"/>
    <n v="1"/>
    <m/>
    <m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x v="4"/>
    <n v="2"/>
    <n v="2"/>
    <n v="2"/>
    <n v="1"/>
    <m/>
    <m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x v="5"/>
    <n v="7"/>
    <n v="7"/>
    <n v="7"/>
    <n v="1"/>
    <m/>
    <m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x v="9"/>
    <n v="2"/>
    <n v="0"/>
    <n v="3"/>
    <n v="1"/>
    <m/>
    <m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x v="1"/>
    <n v="4"/>
    <n v="0"/>
    <n v="9"/>
    <n v="1"/>
    <m/>
    <m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x v="5"/>
    <n v="7"/>
    <n v="0"/>
    <n v="7"/>
    <n v="1"/>
    <m/>
    <m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x v="6"/>
    <n v="0"/>
    <n v="0"/>
    <n v="0"/>
    <n v="1"/>
    <m/>
    <m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x v="11"/>
    <n v="2"/>
    <n v="1"/>
    <n v="2"/>
    <n v="1"/>
    <m/>
    <m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x v="8"/>
    <n v="3"/>
    <n v="1"/>
    <n v="2"/>
    <n v="1"/>
    <m/>
    <m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x v="15"/>
    <n v="10"/>
    <n v="6"/>
    <n v="11"/>
    <n v="1"/>
    <m/>
    <m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x v="4"/>
    <n v="0"/>
    <n v="2"/>
    <n v="2"/>
    <n v="1"/>
    <m/>
    <m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x v="3"/>
    <n v="7"/>
    <n v="1"/>
    <n v="7"/>
    <n v="1"/>
    <m/>
    <m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x v="2"/>
    <n v="0"/>
    <n v="0"/>
    <n v="0"/>
    <n v="1"/>
    <m/>
    <m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x v="1"/>
    <n v="0"/>
    <n v="7"/>
    <n v="9"/>
    <n v="1"/>
    <m/>
    <m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x v="23"/>
    <n v="11"/>
    <n v="0"/>
    <n v="7"/>
    <n v="1"/>
    <m/>
    <m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x v="6"/>
    <n v="0"/>
    <n v="0"/>
    <n v="0"/>
    <n v="1"/>
    <m/>
    <m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x v="9"/>
    <n v="1"/>
    <n v="0"/>
    <n v="3"/>
    <n v="1"/>
    <m/>
    <m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x v="8"/>
    <n v="2"/>
    <n v="0"/>
    <n v="3"/>
    <n v="1"/>
    <m/>
    <m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x v="8"/>
    <n v="4"/>
    <n v="4"/>
    <n v="3"/>
    <n v="1"/>
    <m/>
    <m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x v="2"/>
    <n v="0"/>
    <n v="0"/>
    <n v="0"/>
    <n v="1"/>
    <m/>
    <m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x v="6"/>
    <n v="0"/>
    <n v="0"/>
    <n v="0"/>
    <n v="1"/>
    <m/>
    <m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x v="8"/>
    <n v="3"/>
    <n v="0"/>
    <n v="4"/>
    <n v="1"/>
    <m/>
    <m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x v="8"/>
    <n v="3"/>
    <n v="1"/>
    <n v="4"/>
    <n v="1"/>
    <m/>
    <m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x v="9"/>
    <n v="2"/>
    <n v="2"/>
    <n v="3"/>
    <n v="1"/>
    <m/>
    <m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x v="8"/>
    <n v="4"/>
    <n v="0"/>
    <n v="2"/>
    <n v="1"/>
    <m/>
    <m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x v="13"/>
    <n v="8"/>
    <n v="2"/>
    <n v="1"/>
    <n v="1"/>
    <m/>
    <m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x v="3"/>
    <n v="7"/>
    <n v="1"/>
    <n v="1"/>
    <n v="1"/>
    <m/>
    <m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x v="5"/>
    <n v="7"/>
    <n v="7"/>
    <n v="6"/>
    <n v="1"/>
    <m/>
    <m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x v="8"/>
    <n v="3"/>
    <n v="0"/>
    <n v="2"/>
    <n v="1"/>
    <m/>
    <m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x v="8"/>
    <n v="1"/>
    <n v="1"/>
    <n v="2"/>
    <n v="1"/>
    <m/>
    <m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x v="1"/>
    <n v="8"/>
    <n v="8"/>
    <n v="7"/>
    <n v="1"/>
    <m/>
    <m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x v="9"/>
    <n v="1"/>
    <n v="0"/>
    <n v="3"/>
    <n v="1"/>
    <m/>
    <m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x v="6"/>
    <n v="0"/>
    <n v="0"/>
    <n v="0"/>
    <n v="1"/>
    <m/>
    <m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x v="1"/>
    <n v="8"/>
    <n v="0"/>
    <n v="9"/>
    <n v="1"/>
    <m/>
    <m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x v="5"/>
    <n v="7"/>
    <n v="0"/>
    <n v="7"/>
    <n v="1"/>
    <m/>
    <m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x v="6"/>
    <n v="0"/>
    <n v="0"/>
    <n v="0"/>
    <n v="1"/>
    <m/>
    <m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x v="1"/>
    <n v="7"/>
    <n v="0"/>
    <n v="8"/>
    <n v="1"/>
    <m/>
    <m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x v="4"/>
    <n v="2"/>
    <n v="2"/>
    <n v="2"/>
    <n v="1"/>
    <m/>
    <m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x v="9"/>
    <n v="3"/>
    <n v="2"/>
    <n v="3"/>
    <n v="1"/>
    <m/>
    <m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x v="7"/>
    <n v="7"/>
    <n v="2"/>
    <n v="8"/>
    <n v="1"/>
    <m/>
    <m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x v="1"/>
    <n v="9"/>
    <n v="0"/>
    <n v="9"/>
    <n v="1"/>
    <m/>
    <m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x v="0"/>
    <n v="2"/>
    <n v="1"/>
    <n v="2"/>
    <n v="1"/>
    <m/>
    <m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x v="1"/>
    <n v="9"/>
    <n v="1"/>
    <n v="4"/>
    <n v="1"/>
    <m/>
    <m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x v="6"/>
    <n v="0"/>
    <n v="0"/>
    <n v="0"/>
    <n v="1"/>
    <m/>
    <m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x v="23"/>
    <n v="8"/>
    <n v="11"/>
    <n v="10"/>
    <n v="1"/>
    <m/>
    <m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x v="23"/>
    <n v="9"/>
    <n v="3"/>
    <n v="7"/>
    <n v="1"/>
    <m/>
    <m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x v="19"/>
    <n v="7"/>
    <n v="4"/>
    <n v="8"/>
    <n v="1"/>
    <m/>
    <m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x v="8"/>
    <n v="2"/>
    <n v="1"/>
    <n v="4"/>
    <n v="1"/>
    <m/>
    <m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x v="9"/>
    <n v="3"/>
    <n v="1"/>
    <n v="2"/>
    <n v="1"/>
    <m/>
    <m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x v="8"/>
    <n v="2"/>
    <n v="1"/>
    <n v="4"/>
    <n v="1"/>
    <m/>
    <m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x v="1"/>
    <n v="9"/>
    <n v="9"/>
    <n v="4"/>
    <n v="1"/>
    <m/>
    <m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x v="19"/>
    <n v="8"/>
    <n v="5"/>
    <n v="10"/>
    <n v="1"/>
    <m/>
    <m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x v="4"/>
    <n v="0"/>
    <n v="1"/>
    <n v="2"/>
    <n v="1"/>
    <m/>
    <m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x v="12"/>
    <n v="8"/>
    <n v="1"/>
    <n v="7"/>
    <n v="1"/>
    <m/>
    <m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x v="4"/>
    <n v="2"/>
    <n v="0"/>
    <n v="2"/>
    <n v="1"/>
    <m/>
    <m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x v="18"/>
    <n v="14"/>
    <n v="12"/>
    <n v="11"/>
    <n v="1"/>
    <m/>
    <m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x v="6"/>
    <n v="1"/>
    <n v="0"/>
    <n v="0"/>
    <n v="1"/>
    <m/>
    <m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x v="15"/>
    <n v="13"/>
    <n v="5"/>
    <n v="8"/>
    <n v="1"/>
    <m/>
    <m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x v="4"/>
    <n v="2"/>
    <n v="1"/>
    <n v="2"/>
    <n v="1"/>
    <m/>
    <m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x v="3"/>
    <n v="3"/>
    <n v="7"/>
    <n v="7"/>
    <n v="1"/>
    <m/>
    <m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x v="9"/>
    <n v="3"/>
    <n v="1"/>
    <n v="2"/>
    <n v="1"/>
    <m/>
    <m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x v="8"/>
    <n v="3"/>
    <n v="1"/>
    <n v="0"/>
    <n v="1"/>
    <m/>
    <m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x v="20"/>
    <n v="8"/>
    <n v="5"/>
    <n v="12"/>
    <n v="1"/>
    <m/>
    <m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x v="4"/>
    <n v="2"/>
    <n v="2"/>
    <n v="2"/>
    <n v="1"/>
    <m/>
    <m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x v="11"/>
    <n v="2"/>
    <n v="1"/>
    <n v="2"/>
    <n v="1"/>
    <m/>
    <m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x v="1"/>
    <n v="7"/>
    <n v="0"/>
    <n v="8"/>
    <n v="1"/>
    <m/>
    <m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x v="7"/>
    <n v="7"/>
    <n v="8"/>
    <n v="1"/>
    <n v="1"/>
    <m/>
    <m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x v="0"/>
    <n v="2"/>
    <n v="4"/>
    <n v="1"/>
    <n v="1"/>
    <m/>
    <m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x v="6"/>
    <n v="0"/>
    <n v="0"/>
    <n v="0"/>
    <n v="1"/>
    <m/>
    <m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x v="4"/>
    <n v="2"/>
    <n v="2"/>
    <n v="2"/>
    <n v="1"/>
    <m/>
    <m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x v="5"/>
    <n v="7"/>
    <n v="1"/>
    <n v="7"/>
    <n v="1"/>
    <m/>
    <m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x v="29"/>
    <n v="16"/>
    <n v="1"/>
    <n v="11"/>
    <n v="1"/>
    <m/>
    <m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x v="13"/>
    <n v="10"/>
    <n v="5"/>
    <n v="7"/>
    <n v="1"/>
    <m/>
    <m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x v="22"/>
    <n v="11"/>
    <n v="6"/>
    <n v="8"/>
    <n v="1"/>
    <m/>
    <m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x v="8"/>
    <n v="3"/>
    <n v="0"/>
    <n v="4"/>
    <n v="1"/>
    <m/>
    <m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x v="7"/>
    <n v="8"/>
    <n v="0"/>
    <n v="0"/>
    <n v="1"/>
    <m/>
    <m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x v="9"/>
    <n v="3"/>
    <n v="1"/>
    <n v="2"/>
    <n v="1"/>
    <m/>
    <m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x v="4"/>
    <n v="2"/>
    <n v="1"/>
    <n v="2"/>
    <n v="1"/>
    <m/>
    <m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x v="0"/>
    <n v="0"/>
    <n v="1"/>
    <n v="3"/>
    <n v="1"/>
    <m/>
    <m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x v="6"/>
    <n v="0"/>
    <n v="1"/>
    <n v="0"/>
    <n v="1"/>
    <m/>
    <m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x v="7"/>
    <n v="7"/>
    <n v="3"/>
    <n v="4"/>
    <n v="1"/>
    <m/>
    <m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x v="9"/>
    <n v="2"/>
    <n v="0"/>
    <n v="2"/>
    <n v="1"/>
    <m/>
    <m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x v="20"/>
    <n v="12"/>
    <n v="1"/>
    <n v="9"/>
    <n v="1"/>
    <m/>
    <m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x v="4"/>
    <n v="2"/>
    <n v="2"/>
    <n v="2"/>
    <n v="1"/>
    <m/>
    <m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x v="14"/>
    <n v="6"/>
    <n v="4"/>
    <n v="14"/>
    <n v="1"/>
    <m/>
    <m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x v="1"/>
    <n v="9"/>
    <n v="9"/>
    <n v="8"/>
    <n v="1"/>
    <m/>
    <m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x v="23"/>
    <n v="7"/>
    <n v="0"/>
    <n v="10"/>
    <n v="1"/>
    <m/>
    <m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x v="3"/>
    <n v="7"/>
    <n v="1"/>
    <n v="7"/>
    <n v="1"/>
    <m/>
    <m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x v="15"/>
    <n v="12"/>
    <n v="11"/>
    <n v="11"/>
    <n v="1"/>
    <m/>
    <m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x v="8"/>
    <n v="4"/>
    <n v="0"/>
    <n v="4"/>
    <n v="1"/>
    <m/>
    <m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x v="9"/>
    <n v="2"/>
    <n v="1"/>
    <n v="2"/>
    <n v="1"/>
    <m/>
    <m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x v="7"/>
    <n v="0"/>
    <n v="1"/>
    <n v="7"/>
    <n v="1"/>
    <m/>
    <m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x v="1"/>
    <n v="7"/>
    <n v="1"/>
    <n v="9"/>
    <n v="1"/>
    <m/>
    <m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x v="0"/>
    <n v="3"/>
    <n v="0"/>
    <n v="1"/>
    <n v="1"/>
    <m/>
    <m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x v="0"/>
    <n v="3"/>
    <n v="0"/>
    <n v="0"/>
    <n v="1"/>
    <m/>
    <m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x v="8"/>
    <n v="3"/>
    <n v="0"/>
    <n v="1"/>
    <n v="1"/>
    <m/>
    <m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x v="4"/>
    <n v="2"/>
    <n v="2"/>
    <n v="2"/>
    <n v="1"/>
    <m/>
    <m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x v="1"/>
    <n v="2"/>
    <n v="0"/>
    <n v="2"/>
    <n v="1"/>
    <m/>
    <m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x v="8"/>
    <n v="3"/>
    <n v="0"/>
    <n v="2"/>
    <n v="1"/>
    <m/>
    <m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x v="9"/>
    <n v="3"/>
    <n v="1"/>
    <n v="1"/>
    <n v="1"/>
    <m/>
    <m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x v="9"/>
    <n v="3"/>
    <n v="0"/>
    <n v="3"/>
    <n v="1"/>
    <m/>
    <m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x v="8"/>
    <n v="4"/>
    <n v="0"/>
    <n v="4"/>
    <n v="1"/>
    <m/>
    <m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x v="11"/>
    <n v="2"/>
    <n v="2"/>
    <n v="0"/>
    <n v="1"/>
    <m/>
    <m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x v="23"/>
    <n v="9"/>
    <n v="9"/>
    <n v="6"/>
    <n v="1"/>
    <m/>
    <m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x v="7"/>
    <n v="4"/>
    <n v="1"/>
    <n v="7"/>
    <n v="1"/>
    <m/>
    <m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x v="9"/>
    <n v="2"/>
    <n v="0"/>
    <n v="0"/>
    <n v="1"/>
    <m/>
    <m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x v="8"/>
    <n v="2"/>
    <n v="0"/>
    <n v="3"/>
    <n v="1"/>
    <m/>
    <m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x v="5"/>
    <n v="7"/>
    <n v="1"/>
    <n v="7"/>
    <n v="1"/>
    <m/>
    <m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x v="0"/>
    <n v="2"/>
    <n v="0"/>
    <n v="3"/>
    <n v="1"/>
    <m/>
    <m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x v="7"/>
    <n v="6"/>
    <n v="0"/>
    <n v="8"/>
    <n v="1"/>
    <m/>
    <m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x v="9"/>
    <n v="3"/>
    <n v="1"/>
    <n v="2"/>
    <n v="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1"/>
    <n v="2"/>
    <s v="Female"/>
    <n v="94"/>
    <n v="3"/>
    <x v="0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x v="0"/>
    <n v="5"/>
    <n v="1"/>
    <s v="41_Sales_Sales Executive"/>
    <n v="0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x v="0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x v="1"/>
    <n v="7"/>
    <n v="1"/>
    <m/>
    <m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x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x v="0"/>
    <n v="0"/>
    <n v="1"/>
    <m/>
    <m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x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x v="2"/>
    <n v="0"/>
    <n v="1"/>
    <m/>
    <m/>
    <x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x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x v="3"/>
    <n v="2"/>
    <n v="1"/>
    <m/>
    <m/>
    <x v="1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x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x v="2"/>
    <n v="6"/>
    <n v="1"/>
    <m/>
    <m/>
    <x v="0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x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x v="0"/>
    <n v="0"/>
    <n v="1"/>
    <m/>
    <m/>
    <x v="1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x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x v="0"/>
    <n v="0"/>
    <n v="1"/>
    <m/>
    <m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x v="2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x v="1"/>
    <n v="8"/>
    <n v="1"/>
    <m/>
    <m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x v="0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x v="4"/>
    <n v="7"/>
    <n v="1"/>
    <m/>
    <m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x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x v="0"/>
    <n v="3"/>
    <n v="1"/>
    <m/>
    <m/>
    <x v="2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x v="0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x v="0"/>
    <n v="8"/>
    <n v="1"/>
    <m/>
    <m/>
    <x v="0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x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x v="5"/>
    <n v="3"/>
    <n v="1"/>
    <m/>
    <m/>
    <x v="2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x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x v="1"/>
    <n v="2"/>
    <n v="1"/>
    <m/>
    <m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x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x v="0"/>
    <n v="3"/>
    <n v="1"/>
    <m/>
    <m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x v="2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x v="6"/>
    <n v="8"/>
    <n v="1"/>
    <m/>
    <m/>
    <x v="0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x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x v="0"/>
    <n v="5"/>
    <n v="1"/>
    <m/>
    <m/>
    <x v="0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x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x v="0"/>
    <n v="0"/>
    <n v="1"/>
    <m/>
    <m/>
    <x v="1"/>
  </r>
  <r>
    <n v="53"/>
    <x v="1"/>
    <s v="Travel_Rarely"/>
    <n v="1219"/>
    <s v="Sales"/>
    <n v="2"/>
    <n v="4"/>
    <s v="Life Sciences"/>
    <n v="1"/>
    <n v="23"/>
    <n v="1"/>
    <s v="Female"/>
    <n v="78"/>
    <n v="2"/>
    <x v="3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x v="2"/>
    <n v="7"/>
    <n v="1"/>
    <m/>
    <m/>
    <x v="3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x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x v="1"/>
    <n v="2"/>
    <n v="1"/>
    <m/>
    <m/>
    <x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x v="0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x v="1"/>
    <n v="3"/>
    <n v="1"/>
    <m/>
    <m/>
    <x v="2"/>
  </r>
  <r>
    <n v="36"/>
    <x v="0"/>
    <s v="Travel_Rarely"/>
    <n v="1218"/>
    <s v="Sales"/>
    <n v="9"/>
    <n v="4"/>
    <s v="Life Sciences"/>
    <n v="1"/>
    <n v="27"/>
    <n v="3"/>
    <s v="Male"/>
    <n v="82"/>
    <n v="2"/>
    <x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x v="0"/>
    <n v="3"/>
    <n v="1"/>
    <m/>
    <m/>
    <x v="2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x v="2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x v="3"/>
    <n v="11"/>
    <n v="1"/>
    <m/>
    <m/>
    <x v="4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x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x v="0"/>
    <n v="0"/>
    <n v="1"/>
    <m/>
    <m/>
    <x v="1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x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x v="1"/>
    <n v="3"/>
    <n v="1"/>
    <m/>
    <m/>
    <x v="2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x v="4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x v="5"/>
    <n v="8"/>
    <n v="1"/>
    <m/>
    <m/>
    <x v="4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x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x v="7"/>
    <n v="7"/>
    <n v="1"/>
    <m/>
    <m/>
    <x v="0"/>
  </r>
  <r>
    <n v="42"/>
    <x v="1"/>
    <s v="Travel_Rarely"/>
    <n v="691"/>
    <s v="Sales"/>
    <n v="8"/>
    <n v="4"/>
    <s v="Marketing"/>
    <n v="1"/>
    <n v="35"/>
    <n v="3"/>
    <s v="Male"/>
    <n v="48"/>
    <n v="3"/>
    <x v="0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x v="5"/>
    <n v="2"/>
    <n v="1"/>
    <m/>
    <m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x v="2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x v="8"/>
    <n v="17"/>
    <n v="1"/>
    <m/>
    <m/>
    <x v="3"/>
  </r>
  <r>
    <n v="46"/>
    <x v="1"/>
    <s v="Travel_Rarely"/>
    <n v="705"/>
    <s v="Sales"/>
    <n v="2"/>
    <n v="4"/>
    <s v="Marketing"/>
    <n v="1"/>
    <n v="38"/>
    <n v="2"/>
    <s v="Female"/>
    <n v="83"/>
    <n v="3"/>
    <x v="4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x v="3"/>
    <n v="1"/>
    <n v="1"/>
    <m/>
    <m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x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x v="0"/>
    <n v="0"/>
    <n v="1"/>
    <m/>
    <m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x v="0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x v="1"/>
    <n v="3"/>
    <n v="1"/>
    <m/>
    <m/>
    <x v="2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x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x v="1"/>
    <n v="8"/>
    <n v="1"/>
    <m/>
    <m/>
    <x v="0"/>
  </r>
  <r>
    <n v="39"/>
    <x v="0"/>
    <s v="Travel_Rarely"/>
    <n v="895"/>
    <s v="Sales"/>
    <n v="5"/>
    <n v="3"/>
    <s v="Technical Degree"/>
    <n v="1"/>
    <n v="42"/>
    <n v="4"/>
    <s v="Male"/>
    <n v="56"/>
    <n v="3"/>
    <x v="0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x v="0"/>
    <n v="0"/>
    <n v="1"/>
    <m/>
    <m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x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x v="3"/>
    <n v="0"/>
    <n v="1"/>
    <m/>
    <m/>
    <x v="1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x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x v="1"/>
    <n v="4"/>
    <n v="1"/>
    <m/>
    <m/>
    <x v="2"/>
  </r>
  <r>
    <n v="50"/>
    <x v="0"/>
    <s v="Travel_Rarely"/>
    <n v="869"/>
    <s v="Sales"/>
    <n v="3"/>
    <n v="2"/>
    <s v="Marketing"/>
    <n v="1"/>
    <n v="47"/>
    <n v="1"/>
    <s v="Male"/>
    <n v="86"/>
    <n v="2"/>
    <x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x v="0"/>
    <n v="2"/>
    <n v="1"/>
    <m/>
    <m/>
    <x v="2"/>
  </r>
  <r>
    <n v="35"/>
    <x v="1"/>
    <s v="Travel_Rarely"/>
    <n v="890"/>
    <s v="Sales"/>
    <n v="2"/>
    <n v="3"/>
    <s v="Marketing"/>
    <n v="1"/>
    <n v="49"/>
    <n v="4"/>
    <s v="Female"/>
    <n v="97"/>
    <n v="3"/>
    <x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x v="3"/>
    <n v="2"/>
    <n v="1"/>
    <m/>
    <m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x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x v="0"/>
    <n v="0"/>
    <n v="1"/>
    <m/>
    <m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x v="0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x v="1"/>
    <n v="3"/>
    <n v="1"/>
    <m/>
    <m/>
    <x v="2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x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x v="0"/>
    <n v="0"/>
    <n v="1"/>
    <m/>
    <m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x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x v="0"/>
    <n v="0"/>
    <n v="1"/>
    <m/>
    <m/>
    <x v="1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x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x v="0"/>
    <n v="1"/>
    <n v="1"/>
    <m/>
    <m/>
    <x v="1"/>
  </r>
  <r>
    <n v="27"/>
    <x v="1"/>
    <s v="Travel_Frequently"/>
    <n v="994"/>
    <s v="Sales"/>
    <n v="8"/>
    <n v="3"/>
    <s v="Life Sciences"/>
    <n v="1"/>
    <n v="56"/>
    <n v="4"/>
    <s v="Male"/>
    <n v="37"/>
    <n v="3"/>
    <x v="2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x v="1"/>
    <n v="7"/>
    <n v="1"/>
    <m/>
    <m/>
    <x v="0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x v="0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x v="2"/>
    <n v="7"/>
    <n v="1"/>
    <m/>
    <m/>
    <x v="4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x v="4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x v="9"/>
    <n v="8"/>
    <n v="1"/>
    <m/>
    <m/>
    <x v="3"/>
  </r>
  <r>
    <n v="34"/>
    <x v="1"/>
    <s v="Non-Travel"/>
    <n v="1065"/>
    <s v="Sales"/>
    <n v="23"/>
    <n v="4"/>
    <s v="Marketing"/>
    <n v="1"/>
    <n v="60"/>
    <n v="2"/>
    <s v="Male"/>
    <n v="72"/>
    <n v="3"/>
    <x v="0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x v="6"/>
    <n v="7"/>
    <n v="1"/>
    <m/>
    <m/>
    <x v="0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x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x v="0"/>
    <n v="0"/>
    <n v="1"/>
    <m/>
    <m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x v="0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x v="0"/>
    <n v="8"/>
    <n v="1"/>
    <m/>
    <m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x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x v="0"/>
    <n v="1"/>
    <n v="1"/>
    <m/>
    <m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x v="2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x v="0"/>
    <n v="0"/>
    <n v="1"/>
    <m/>
    <m/>
    <x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x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x v="3"/>
    <n v="2"/>
    <n v="1"/>
    <m/>
    <m/>
    <x v="1"/>
  </r>
  <r>
    <n v="44"/>
    <x v="1"/>
    <s v="Travel_Rarely"/>
    <n v="1488"/>
    <s v="Sales"/>
    <n v="1"/>
    <n v="5"/>
    <s v="Marketing"/>
    <n v="1"/>
    <n v="68"/>
    <n v="2"/>
    <s v="Female"/>
    <n v="75"/>
    <n v="3"/>
    <x v="0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x v="1"/>
    <n v="3"/>
    <n v="1"/>
    <m/>
    <m/>
    <x v="2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x v="2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x v="3"/>
    <n v="3"/>
    <n v="1"/>
    <m/>
    <m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x v="0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x v="0"/>
    <n v="0"/>
    <n v="1"/>
    <m/>
    <m/>
    <x v="1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x v="2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x v="6"/>
    <n v="12"/>
    <n v="1"/>
    <m/>
    <m/>
    <x v="4"/>
  </r>
  <r>
    <n v="35"/>
    <x v="1"/>
    <s v="Travel_Frequently"/>
    <n v="853"/>
    <s v="Sales"/>
    <n v="18"/>
    <n v="5"/>
    <s v="Life Sciences"/>
    <n v="1"/>
    <n v="74"/>
    <n v="2"/>
    <s v="Male"/>
    <n v="71"/>
    <n v="3"/>
    <x v="2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x v="1"/>
    <n v="8"/>
    <n v="1"/>
    <m/>
    <m/>
    <x v="0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x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x v="3"/>
    <n v="2"/>
    <n v="1"/>
    <m/>
    <m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x v="0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x v="1"/>
    <n v="7"/>
    <n v="1"/>
    <m/>
    <m/>
    <x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x v="0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x v="0"/>
    <n v="7"/>
    <n v="1"/>
    <m/>
    <m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x v="0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x v="4"/>
    <n v="8"/>
    <n v="1"/>
    <m/>
    <m/>
    <x v="0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x v="0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x v="10"/>
    <n v="9"/>
    <n v="1"/>
    <m/>
    <m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x v="4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x v="11"/>
    <n v="8"/>
    <n v="1"/>
    <m/>
    <m/>
    <x v="3"/>
  </r>
  <r>
    <n v="59"/>
    <x v="1"/>
    <s v="Travel_Rarely"/>
    <n v="1435"/>
    <s v="Sales"/>
    <n v="25"/>
    <n v="3"/>
    <s v="Life Sciences"/>
    <n v="1"/>
    <n v="81"/>
    <n v="1"/>
    <s v="Female"/>
    <n v="99"/>
    <n v="3"/>
    <x v="2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x v="4"/>
    <n v="9"/>
    <n v="1"/>
    <m/>
    <m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x v="2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x v="12"/>
    <n v="8"/>
    <n v="1"/>
    <m/>
    <m/>
    <x v="5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x v="3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x v="0"/>
    <n v="2"/>
    <n v="1"/>
    <m/>
    <m/>
    <x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x v="0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x v="0"/>
    <n v="3"/>
    <n v="1"/>
    <m/>
    <m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x v="2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x v="0"/>
    <n v="0"/>
    <n v="1"/>
    <m/>
    <m/>
    <x v="1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x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x v="1"/>
    <n v="2"/>
    <n v="1"/>
    <m/>
    <m/>
    <x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x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x v="0"/>
    <n v="0"/>
    <n v="1"/>
    <m/>
    <m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x v="0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x v="1"/>
    <n v="3"/>
    <n v="1"/>
    <m/>
    <m/>
    <x v="2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x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x v="0"/>
    <n v="4"/>
    <n v="1"/>
    <m/>
    <m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x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x v="1"/>
    <n v="0"/>
    <n v="1"/>
    <m/>
    <m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x v="0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x v="0"/>
    <n v="9"/>
    <n v="1"/>
    <m/>
    <m/>
    <x v="0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x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x v="0"/>
    <n v="0"/>
    <n v="1"/>
    <m/>
    <m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x v="0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x v="1"/>
    <n v="8"/>
    <n v="1"/>
    <m/>
    <m/>
    <x v="4"/>
  </r>
  <r>
    <n v="35"/>
    <x v="1"/>
    <s v="Travel_Rarely"/>
    <n v="776"/>
    <s v="Sales"/>
    <n v="1"/>
    <n v="4"/>
    <s v="Marketing"/>
    <n v="1"/>
    <n v="100"/>
    <n v="3"/>
    <s v="Male"/>
    <n v="32"/>
    <n v="2"/>
    <x v="0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x v="3"/>
    <n v="8"/>
    <n v="1"/>
    <m/>
    <m/>
    <x v="4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x v="2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x v="0"/>
    <n v="0"/>
    <n v="1"/>
    <m/>
    <m/>
    <x v="1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x v="2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x v="0"/>
    <n v="2"/>
    <n v="1"/>
    <m/>
    <m/>
    <x v="2"/>
  </r>
  <r>
    <n v="46"/>
    <x v="1"/>
    <s v="Travel_Rarely"/>
    <n v="945"/>
    <s v="Human Resources"/>
    <n v="5"/>
    <n v="2"/>
    <s v="Medical"/>
    <n v="1"/>
    <n v="103"/>
    <n v="2"/>
    <s v="Male"/>
    <n v="80"/>
    <n v="3"/>
    <x v="0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x v="0"/>
    <n v="2"/>
    <n v="1"/>
    <m/>
    <m/>
    <x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x v="0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x v="2"/>
    <n v="0"/>
    <n v="1"/>
    <m/>
    <m/>
    <x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x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x v="0"/>
    <n v="4"/>
    <n v="1"/>
    <m/>
    <m/>
    <x v="0"/>
  </r>
  <r>
    <n v="55"/>
    <x v="1"/>
    <s v="Travel_Rarely"/>
    <n v="111"/>
    <s v="Sales"/>
    <n v="1"/>
    <n v="2"/>
    <s v="Life Sciences"/>
    <n v="1"/>
    <n v="106"/>
    <n v="1"/>
    <s v="Male"/>
    <n v="70"/>
    <n v="3"/>
    <x v="2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x v="1"/>
    <n v="0"/>
    <n v="1"/>
    <m/>
    <m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x v="0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x v="1"/>
    <n v="9"/>
    <n v="1"/>
    <m/>
    <m/>
    <x v="4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x v="0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x v="1"/>
    <n v="3"/>
    <n v="1"/>
    <m/>
    <m/>
    <x v="2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x v="2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x v="0"/>
    <n v="2"/>
    <n v="1"/>
    <m/>
    <m/>
    <x v="0"/>
  </r>
  <r>
    <n v="23"/>
    <x v="1"/>
    <s v="Travel_Rarely"/>
    <n v="541"/>
    <s v="Sales"/>
    <n v="2"/>
    <n v="1"/>
    <s v="Technical Degree"/>
    <n v="1"/>
    <n v="113"/>
    <n v="3"/>
    <s v="Male"/>
    <n v="62"/>
    <n v="3"/>
    <x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x v="0"/>
    <n v="0"/>
    <n v="1"/>
    <m/>
    <m/>
    <x v="1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x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x v="0"/>
    <n v="3"/>
    <n v="1"/>
    <m/>
    <m/>
    <x v="2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x v="0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x v="13"/>
    <n v="8"/>
    <n v="1"/>
    <m/>
    <m/>
    <x v="4"/>
  </r>
  <r>
    <n v="46"/>
    <x v="0"/>
    <s v="Travel_Rarely"/>
    <n v="669"/>
    <s v="Sales"/>
    <n v="9"/>
    <n v="2"/>
    <s v="Medical"/>
    <n v="1"/>
    <n v="118"/>
    <n v="3"/>
    <s v="Male"/>
    <n v="64"/>
    <n v="2"/>
    <x v="2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x v="5"/>
    <n v="7"/>
    <n v="1"/>
    <m/>
    <m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x v="3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x v="14"/>
    <n v="11"/>
    <n v="1"/>
    <m/>
    <m/>
    <x v="3"/>
  </r>
  <r>
    <n v="51"/>
    <x v="1"/>
    <s v="Travel_Rarely"/>
    <n v="632"/>
    <s v="Sales"/>
    <n v="21"/>
    <n v="4"/>
    <s v="Marketing"/>
    <n v="1"/>
    <n v="120"/>
    <n v="3"/>
    <s v="Male"/>
    <n v="71"/>
    <n v="3"/>
    <x v="0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x v="1"/>
    <n v="0"/>
    <n v="1"/>
    <m/>
    <m/>
    <x v="0"/>
  </r>
  <r>
    <n v="30"/>
    <x v="1"/>
    <s v="Travel_Rarely"/>
    <n v="1334"/>
    <s v="Sales"/>
    <n v="4"/>
    <n v="2"/>
    <s v="Medical"/>
    <n v="1"/>
    <n v="121"/>
    <n v="3"/>
    <s v="Female"/>
    <n v="63"/>
    <n v="2"/>
    <x v="0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x v="3"/>
    <n v="7"/>
    <n v="1"/>
    <m/>
    <m/>
    <x v="4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x v="2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x v="10"/>
    <n v="5"/>
    <n v="1"/>
    <m/>
    <m/>
    <x v="0"/>
  </r>
  <r>
    <n v="32"/>
    <x v="1"/>
    <s v="Travel_Rarely"/>
    <n v="1093"/>
    <s v="Sales"/>
    <n v="6"/>
    <n v="4"/>
    <s v="Medical"/>
    <n v="1"/>
    <n v="125"/>
    <n v="2"/>
    <s v="Male"/>
    <n v="87"/>
    <n v="3"/>
    <x v="0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x v="8"/>
    <n v="7"/>
    <n v="1"/>
    <m/>
    <m/>
    <x v="4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x v="2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x v="0"/>
    <n v="3"/>
    <n v="1"/>
    <m/>
    <m/>
    <x v="2"/>
  </r>
  <r>
    <n v="24"/>
    <x v="1"/>
    <s v="Travel_Rarely"/>
    <n v="1353"/>
    <s v="Sales"/>
    <n v="3"/>
    <n v="2"/>
    <s v="Other"/>
    <n v="1"/>
    <n v="128"/>
    <n v="1"/>
    <s v="Female"/>
    <n v="33"/>
    <n v="3"/>
    <x v="0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x v="0"/>
    <n v="2"/>
    <n v="1"/>
    <m/>
    <m/>
    <x v="2"/>
  </r>
  <r>
    <n v="28"/>
    <x v="1"/>
    <s v="Non-Travel"/>
    <n v="120"/>
    <s v="Sales"/>
    <n v="4"/>
    <n v="3"/>
    <s v="Medical"/>
    <n v="1"/>
    <n v="129"/>
    <n v="2"/>
    <s v="Male"/>
    <n v="43"/>
    <n v="3"/>
    <x v="0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x v="0"/>
    <n v="4"/>
    <n v="1"/>
    <m/>
    <m/>
    <x v="2"/>
  </r>
  <r>
    <n v="58"/>
    <x v="1"/>
    <s v="Travel_Rarely"/>
    <n v="682"/>
    <s v="Sales"/>
    <n v="10"/>
    <n v="4"/>
    <s v="Medical"/>
    <n v="1"/>
    <n v="131"/>
    <n v="4"/>
    <s v="Male"/>
    <n v="37"/>
    <n v="3"/>
    <x v="3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x v="1"/>
    <n v="8"/>
    <n v="1"/>
    <m/>
    <m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x v="0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x v="1"/>
    <n v="2"/>
    <n v="1"/>
    <m/>
    <m/>
    <x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x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x v="0"/>
    <n v="2"/>
    <n v="1"/>
    <m/>
    <m/>
    <x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x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x v="0"/>
    <n v="0"/>
    <n v="1"/>
    <m/>
    <m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x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x v="1"/>
    <n v="0"/>
    <n v="1"/>
    <m/>
    <m/>
    <x v="1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x v="0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x v="3"/>
    <n v="10"/>
    <n v="1"/>
    <m/>
    <m/>
    <x v="5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x v="0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x v="0"/>
    <n v="0"/>
    <n v="1"/>
    <m/>
    <m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x v="4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x v="3"/>
    <n v="2"/>
    <n v="1"/>
    <m/>
    <m/>
    <x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x v="4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x v="0"/>
    <n v="7"/>
    <n v="1"/>
    <m/>
    <m/>
    <x v="0"/>
  </r>
  <r>
    <n v="25"/>
    <x v="0"/>
    <s v="Travel_Rarely"/>
    <n v="240"/>
    <s v="Sales"/>
    <n v="5"/>
    <n v="3"/>
    <s v="Marketing"/>
    <n v="1"/>
    <n v="142"/>
    <n v="3"/>
    <s v="Male"/>
    <n v="46"/>
    <n v="2"/>
    <x v="0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x v="0"/>
    <n v="3"/>
    <n v="1"/>
    <m/>
    <m/>
    <x v="0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x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x v="3"/>
    <n v="1"/>
    <n v="1"/>
    <m/>
    <m/>
    <x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x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x v="0"/>
    <n v="0"/>
    <n v="1"/>
    <m/>
    <m/>
    <x v="1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x v="2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x v="12"/>
    <n v="8"/>
    <n v="1"/>
    <m/>
    <m/>
    <x v="4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x v="0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x v="0"/>
    <n v="6"/>
    <n v="1"/>
    <m/>
    <m/>
    <x v="0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x v="3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x v="5"/>
    <n v="4"/>
    <n v="1"/>
    <m/>
    <m/>
    <x v="2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x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x v="1"/>
    <n v="2"/>
    <n v="1"/>
    <m/>
    <m/>
    <x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x v="0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x v="0"/>
    <n v="0"/>
    <n v="1"/>
    <m/>
    <m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x v="2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x v="1"/>
    <n v="3"/>
    <n v="1"/>
    <m/>
    <m/>
    <x v="2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x v="2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x v="8"/>
    <n v="8"/>
    <n v="1"/>
    <m/>
    <m/>
    <x v="4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x v="2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x v="3"/>
    <n v="8"/>
    <n v="1"/>
    <m/>
    <m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x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x v="0"/>
    <n v="0"/>
    <n v="1"/>
    <m/>
    <m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x v="3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x v="5"/>
    <n v="12"/>
    <n v="1"/>
    <m/>
    <m/>
    <x v="3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x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x v="0"/>
    <n v="9"/>
    <n v="1"/>
    <m/>
    <m/>
    <x v="0"/>
  </r>
  <r>
    <n v="33"/>
    <x v="1"/>
    <s v="Non-Travel"/>
    <n v="750"/>
    <s v="Sales"/>
    <n v="22"/>
    <n v="2"/>
    <s v="Marketing"/>
    <n v="1"/>
    <n v="160"/>
    <n v="3"/>
    <s v="Male"/>
    <n v="95"/>
    <n v="3"/>
    <x v="0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x v="0"/>
    <n v="7"/>
    <n v="1"/>
    <m/>
    <m/>
    <x v="0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x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x v="5"/>
    <n v="3"/>
    <n v="1"/>
    <m/>
    <m/>
    <x v="2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x v="4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x v="9"/>
    <n v="15"/>
    <n v="1"/>
    <m/>
    <m/>
    <x v="5"/>
  </r>
  <r>
    <n v="31"/>
    <x v="0"/>
    <s v="Travel_Rarely"/>
    <n v="249"/>
    <s v="Sales"/>
    <n v="6"/>
    <n v="4"/>
    <s v="Life Sciences"/>
    <n v="1"/>
    <n v="163"/>
    <n v="2"/>
    <s v="Male"/>
    <n v="76"/>
    <n v="1"/>
    <x v="0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x v="4"/>
    <n v="7"/>
    <n v="1"/>
    <m/>
    <m/>
    <x v="0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x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x v="5"/>
    <n v="3"/>
    <n v="1"/>
    <m/>
    <m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x v="2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x v="9"/>
    <n v="6"/>
    <n v="1"/>
    <m/>
    <m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x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x v="0"/>
    <n v="0"/>
    <n v="1"/>
    <m/>
    <m/>
    <x v="1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x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x v="3"/>
    <n v="1"/>
    <n v="1"/>
    <m/>
    <m/>
    <x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x v="0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x v="8"/>
    <n v="11"/>
    <n v="1"/>
    <m/>
    <m/>
    <x v="4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x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x v="1"/>
    <n v="2"/>
    <n v="1"/>
    <m/>
    <m/>
    <x v="2"/>
  </r>
  <r>
    <n v="50"/>
    <x v="1"/>
    <s v="Travel_Frequently"/>
    <n v="809"/>
    <s v="Sales"/>
    <n v="12"/>
    <n v="3"/>
    <s v="Marketing"/>
    <n v="1"/>
    <n v="174"/>
    <n v="3"/>
    <s v="Female"/>
    <n v="77"/>
    <n v="3"/>
    <x v="2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x v="3"/>
    <n v="1"/>
    <n v="1"/>
    <m/>
    <m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x v="0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x v="3"/>
    <n v="2"/>
    <n v="1"/>
    <m/>
    <m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x v="2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x v="0"/>
    <n v="7"/>
    <n v="1"/>
    <m/>
    <m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x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x v="8"/>
    <n v="7"/>
    <n v="1"/>
    <m/>
    <m/>
    <x v="0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x v="0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x v="0"/>
    <n v="1"/>
    <n v="1"/>
    <m/>
    <m/>
    <x v="2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x v="2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x v="0"/>
    <n v="3"/>
    <n v="1"/>
    <m/>
    <m/>
    <x v="2"/>
  </r>
  <r>
    <n v="39"/>
    <x v="1"/>
    <s v="Travel_Rarely"/>
    <n v="1329"/>
    <s v="Sales"/>
    <n v="4"/>
    <n v="4"/>
    <s v="Life Sciences"/>
    <n v="1"/>
    <n v="182"/>
    <n v="4"/>
    <s v="Female"/>
    <n v="47"/>
    <n v="2"/>
    <x v="0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x v="8"/>
    <n v="9"/>
    <n v="1"/>
    <m/>
    <m/>
    <x v="4"/>
  </r>
  <r>
    <n v="25"/>
    <x v="1"/>
    <s v="Travel_Rarely"/>
    <n v="959"/>
    <s v="Sales"/>
    <n v="28"/>
    <n v="3"/>
    <s v="Life Sciences"/>
    <n v="1"/>
    <n v="183"/>
    <n v="1"/>
    <s v="Male"/>
    <n v="41"/>
    <n v="2"/>
    <x v="0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x v="3"/>
    <n v="2"/>
    <n v="1"/>
    <m/>
    <m/>
    <x v="1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x v="0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x v="5"/>
    <n v="7"/>
    <n v="1"/>
    <m/>
    <m/>
    <x v="4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x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x v="0"/>
    <n v="4"/>
    <n v="1"/>
    <m/>
    <m/>
    <x v="2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x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x v="0"/>
    <n v="3"/>
    <n v="1"/>
    <m/>
    <m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x v="0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x v="3"/>
    <n v="2"/>
    <n v="1"/>
    <m/>
    <m/>
    <x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x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x v="0"/>
    <n v="4"/>
    <n v="1"/>
    <m/>
    <m/>
    <x v="2"/>
  </r>
  <r>
    <n v="32"/>
    <x v="1"/>
    <s v="Travel_Frequently"/>
    <n v="689"/>
    <s v="Sales"/>
    <n v="9"/>
    <n v="2"/>
    <s v="Medical"/>
    <n v="1"/>
    <n v="195"/>
    <n v="4"/>
    <s v="Male"/>
    <n v="35"/>
    <n v="1"/>
    <x v="0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x v="0"/>
    <n v="7"/>
    <n v="1"/>
    <m/>
    <m/>
    <x v="0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x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x v="3"/>
    <n v="2"/>
    <n v="1"/>
    <m/>
    <m/>
    <x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x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x v="1"/>
    <n v="2"/>
    <n v="1"/>
    <m/>
    <m/>
    <x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x v="3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x v="4"/>
    <n v="7"/>
    <n v="1"/>
    <m/>
    <m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x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x v="1"/>
    <n v="4"/>
    <n v="1"/>
    <m/>
    <m/>
    <x v="2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x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x v="0"/>
    <n v="0"/>
    <n v="1"/>
    <m/>
    <m/>
    <x v="1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x v="0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x v="3"/>
    <n v="13"/>
    <n v="1"/>
    <m/>
    <m/>
    <x v="5"/>
  </r>
  <r>
    <n v="35"/>
    <x v="1"/>
    <s v="Travel_Rarely"/>
    <n v="662"/>
    <s v="Sales"/>
    <n v="1"/>
    <n v="5"/>
    <s v="Marketing"/>
    <n v="1"/>
    <n v="204"/>
    <n v="3"/>
    <s v="Male"/>
    <n v="94"/>
    <n v="3"/>
    <x v="2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x v="0"/>
    <n v="6"/>
    <n v="1"/>
    <m/>
    <m/>
    <x v="0"/>
  </r>
  <r>
    <n v="53"/>
    <x v="1"/>
    <s v="Travel_Rarely"/>
    <n v="1436"/>
    <s v="Sales"/>
    <n v="6"/>
    <n v="2"/>
    <s v="Marketing"/>
    <n v="1"/>
    <n v="205"/>
    <n v="2"/>
    <s v="Male"/>
    <n v="34"/>
    <n v="3"/>
    <x v="0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x v="5"/>
    <n v="5"/>
    <n v="1"/>
    <m/>
    <m/>
    <x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x v="0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x v="0"/>
    <n v="15"/>
    <n v="1"/>
    <m/>
    <m/>
    <x v="5"/>
  </r>
  <r>
    <n v="32"/>
    <x v="1"/>
    <s v="Travel_Frequently"/>
    <n v="967"/>
    <s v="Sales"/>
    <n v="8"/>
    <n v="3"/>
    <s v="Marketing"/>
    <n v="1"/>
    <n v="207"/>
    <n v="2"/>
    <s v="Female"/>
    <n v="43"/>
    <n v="3"/>
    <x v="2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x v="2"/>
    <n v="7"/>
    <n v="1"/>
    <m/>
    <m/>
    <x v="0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x v="0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x v="0"/>
    <n v="9"/>
    <n v="1"/>
    <m/>
    <m/>
    <x v="0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x v="0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x v="0"/>
    <n v="0"/>
    <n v="1"/>
    <m/>
    <m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x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x v="0"/>
    <n v="0"/>
    <n v="1"/>
    <m/>
    <m/>
    <x v="1"/>
  </r>
  <r>
    <n v="40"/>
    <x v="1"/>
    <s v="Travel_Rarely"/>
    <n v="630"/>
    <s v="Sales"/>
    <n v="4"/>
    <n v="4"/>
    <s v="Marketing"/>
    <n v="1"/>
    <n v="215"/>
    <n v="3"/>
    <s v="Male"/>
    <n v="67"/>
    <n v="2"/>
    <x v="2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x v="3"/>
    <n v="11"/>
    <n v="1"/>
    <m/>
    <m/>
    <x v="4"/>
  </r>
  <r>
    <n v="34"/>
    <x v="1"/>
    <s v="Travel_Frequently"/>
    <n v="303"/>
    <s v="Sales"/>
    <n v="2"/>
    <n v="4"/>
    <s v="Marketing"/>
    <n v="1"/>
    <n v="216"/>
    <n v="3"/>
    <s v="Female"/>
    <n v="75"/>
    <n v="3"/>
    <x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x v="1"/>
    <n v="2"/>
    <n v="1"/>
    <m/>
    <m/>
    <x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x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x v="3"/>
    <n v="2"/>
    <n v="1"/>
    <m/>
    <m/>
    <x v="1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x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x v="3"/>
    <n v="2"/>
    <n v="1"/>
    <m/>
    <m/>
    <x v="1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x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x v="0"/>
    <n v="2"/>
    <n v="1"/>
    <m/>
    <m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x v="2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x v="1"/>
    <n v="4"/>
    <n v="1"/>
    <m/>
    <m/>
    <x v="2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x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x v="0"/>
    <n v="1"/>
    <n v="1"/>
    <m/>
    <m/>
    <x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x v="4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x v="5"/>
    <n v="4"/>
    <n v="1"/>
    <m/>
    <m/>
    <x v="2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x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x v="1"/>
    <n v="8"/>
    <n v="1"/>
    <m/>
    <m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x v="2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x v="4"/>
    <n v="4"/>
    <n v="1"/>
    <m/>
    <m/>
    <x v="0"/>
  </r>
  <r>
    <n v="38"/>
    <x v="1"/>
    <s v="Travel_Rarely"/>
    <n v="702"/>
    <s v="Sales"/>
    <n v="1"/>
    <n v="4"/>
    <s v="Life Sciences"/>
    <n v="1"/>
    <n v="230"/>
    <n v="1"/>
    <s v="Female"/>
    <n v="59"/>
    <n v="2"/>
    <x v="0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x v="0"/>
    <n v="7"/>
    <n v="1"/>
    <m/>
    <m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x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x v="1"/>
    <n v="4"/>
    <n v="1"/>
    <m/>
    <m/>
    <x v="2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x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x v="1"/>
    <n v="1"/>
    <n v="1"/>
    <m/>
    <m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x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x v="0"/>
    <n v="0"/>
    <n v="1"/>
    <m/>
    <m/>
    <x v="1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x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x v="4"/>
    <n v="2"/>
    <n v="1"/>
    <m/>
    <m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x v="0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x v="7"/>
    <n v="10"/>
    <n v="1"/>
    <m/>
    <m/>
    <x v="4"/>
  </r>
  <r>
    <n v="45"/>
    <x v="1"/>
    <s v="Travel_Rarely"/>
    <n v="1268"/>
    <s v="Sales"/>
    <n v="4"/>
    <n v="2"/>
    <s v="Life Sciences"/>
    <n v="1"/>
    <n v="240"/>
    <n v="3"/>
    <s v="Female"/>
    <n v="30"/>
    <n v="3"/>
    <x v="0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x v="0"/>
    <n v="3"/>
    <n v="1"/>
    <m/>
    <m/>
    <x v="2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x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x v="3"/>
    <n v="2"/>
    <n v="1"/>
    <m/>
    <m/>
    <x v="1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x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x v="0"/>
    <n v="2"/>
    <n v="1"/>
    <m/>
    <m/>
    <x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x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x v="1"/>
    <n v="0"/>
    <n v="1"/>
    <m/>
    <m/>
    <x v="1"/>
  </r>
  <r>
    <n v="46"/>
    <x v="1"/>
    <s v="Travel_Rarely"/>
    <n v="526"/>
    <s v="Sales"/>
    <n v="1"/>
    <n v="2"/>
    <s v="Marketing"/>
    <n v="1"/>
    <n v="244"/>
    <n v="2"/>
    <s v="Female"/>
    <n v="92"/>
    <n v="3"/>
    <x v="2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x v="9"/>
    <n v="7"/>
    <n v="1"/>
    <m/>
    <m/>
    <x v="3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x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x v="3"/>
    <n v="1"/>
    <n v="1"/>
    <m/>
    <m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x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x v="0"/>
    <n v="2"/>
    <n v="1"/>
    <m/>
    <m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x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x v="1"/>
    <n v="2"/>
    <n v="1"/>
    <m/>
    <m/>
    <x v="2"/>
  </r>
  <r>
    <n v="41"/>
    <x v="0"/>
    <s v="Travel_Rarely"/>
    <n v="1356"/>
    <s v="Sales"/>
    <n v="20"/>
    <n v="2"/>
    <s v="Marketing"/>
    <n v="1"/>
    <n v="248"/>
    <n v="2"/>
    <s v="Female"/>
    <n v="70"/>
    <n v="3"/>
    <x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x v="0"/>
    <n v="2"/>
    <n v="1"/>
    <m/>
    <m/>
    <x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x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x v="0"/>
    <n v="2"/>
    <n v="1"/>
    <m/>
    <m/>
    <x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x v="0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x v="1"/>
    <n v="3"/>
    <n v="1"/>
    <m/>
    <m/>
    <x v="2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x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x v="1"/>
    <n v="6"/>
    <n v="1"/>
    <m/>
    <m/>
    <x v="0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x v="4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x v="10"/>
    <n v="9"/>
    <n v="1"/>
    <m/>
    <m/>
    <x v="5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x v="4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x v="3"/>
    <n v="15"/>
    <n v="1"/>
    <m/>
    <m/>
    <x v="3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x v="0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x v="1"/>
    <n v="9"/>
    <n v="1"/>
    <m/>
    <m/>
    <x v="0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x v="3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x v="1"/>
    <n v="0"/>
    <n v="1"/>
    <m/>
    <m/>
    <x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x v="4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x v="14"/>
    <n v="9"/>
    <n v="1"/>
    <m/>
    <m/>
    <x v="3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x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x v="0"/>
    <n v="3"/>
    <n v="1"/>
    <m/>
    <m/>
    <x v="0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x v="0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x v="0"/>
    <n v="1"/>
    <n v="1"/>
    <m/>
    <m/>
    <x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x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x v="3"/>
    <n v="2"/>
    <n v="1"/>
    <m/>
    <m/>
    <x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x v="3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x v="14"/>
    <n v="8"/>
    <n v="1"/>
    <m/>
    <m/>
    <x v="5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x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x v="1"/>
    <n v="7"/>
    <n v="1"/>
    <m/>
    <m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x v="0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x v="1"/>
    <n v="2"/>
    <n v="1"/>
    <m/>
    <m/>
    <x v="0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x v="0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x v="0"/>
    <n v="2"/>
    <n v="1"/>
    <m/>
    <m/>
    <x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x v="0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x v="0"/>
    <n v="0"/>
    <n v="1"/>
    <m/>
    <m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x v="0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x v="1"/>
    <n v="7"/>
    <n v="1"/>
    <m/>
    <m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x v="0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x v="3"/>
    <n v="0"/>
    <n v="1"/>
    <m/>
    <m/>
    <x v="1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x v="0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x v="1"/>
    <n v="7"/>
    <n v="1"/>
    <m/>
    <m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x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x v="3"/>
    <n v="0"/>
    <n v="1"/>
    <m/>
    <m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x v="0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x v="2"/>
    <n v="7"/>
    <n v="1"/>
    <m/>
    <m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x v="0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x v="0"/>
    <n v="0"/>
    <n v="1"/>
    <m/>
    <m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x v="2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x v="1"/>
    <n v="9"/>
    <n v="1"/>
    <m/>
    <m/>
    <x v="0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x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x v="3"/>
    <n v="2"/>
    <n v="1"/>
    <m/>
    <m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x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x v="1"/>
    <n v="7"/>
    <n v="1"/>
    <m/>
    <m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x v="0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x v="0"/>
    <n v="2"/>
    <n v="1"/>
    <m/>
    <m/>
    <x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x v="2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x v="0"/>
    <n v="3"/>
    <n v="1"/>
    <m/>
    <m/>
    <x v="2"/>
  </r>
  <r>
    <n v="32"/>
    <x v="0"/>
    <s v="Travel_Rarely"/>
    <n v="1045"/>
    <s v="Sales"/>
    <n v="4"/>
    <n v="4"/>
    <s v="Medical"/>
    <n v="1"/>
    <n v="291"/>
    <n v="4"/>
    <s v="Male"/>
    <n v="32"/>
    <n v="1"/>
    <x v="2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x v="10"/>
    <n v="8"/>
    <n v="1"/>
    <m/>
    <m/>
    <x v="4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x v="2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x v="8"/>
    <n v="8"/>
    <n v="1"/>
    <m/>
    <m/>
    <x v="4"/>
  </r>
  <r>
    <n v="27"/>
    <x v="1"/>
    <s v="Travel_Frequently"/>
    <n v="1242"/>
    <s v="Sales"/>
    <n v="20"/>
    <n v="3"/>
    <s v="Life Sciences"/>
    <n v="1"/>
    <n v="293"/>
    <n v="4"/>
    <s v="Female"/>
    <n v="90"/>
    <n v="3"/>
    <x v="0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x v="0"/>
    <n v="7"/>
    <n v="1"/>
    <m/>
    <m/>
    <x v="0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x v="2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x v="5"/>
    <n v="7"/>
    <n v="1"/>
    <m/>
    <m/>
    <x v="0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x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x v="0"/>
    <n v="4"/>
    <n v="1"/>
    <m/>
    <m/>
    <x v="2"/>
  </r>
  <r>
    <n v="41"/>
    <x v="1"/>
    <s v="Travel_Rarely"/>
    <n v="896"/>
    <s v="Sales"/>
    <n v="6"/>
    <n v="3"/>
    <s v="Life Sciences"/>
    <n v="1"/>
    <n v="298"/>
    <n v="4"/>
    <s v="Female"/>
    <n v="75"/>
    <n v="3"/>
    <x v="2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x v="0"/>
    <n v="0"/>
    <n v="1"/>
    <m/>
    <m/>
    <x v="1"/>
  </r>
  <r>
    <n v="30"/>
    <x v="0"/>
    <s v="Travel_Frequently"/>
    <n v="334"/>
    <s v="Sales"/>
    <n v="26"/>
    <n v="4"/>
    <s v="Marketing"/>
    <n v="1"/>
    <n v="299"/>
    <n v="3"/>
    <s v="Female"/>
    <n v="52"/>
    <n v="2"/>
    <x v="0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x v="0"/>
    <n v="1"/>
    <n v="1"/>
    <m/>
    <m/>
    <x v="0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x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x v="1"/>
    <n v="5"/>
    <n v="1"/>
    <m/>
    <m/>
    <x v="0"/>
  </r>
  <r>
    <n v="45"/>
    <x v="1"/>
    <s v="Non-Travel"/>
    <n v="1052"/>
    <s v="Sales"/>
    <n v="6"/>
    <n v="3"/>
    <s v="Medical"/>
    <n v="1"/>
    <n v="302"/>
    <n v="4"/>
    <s v="Female"/>
    <n v="57"/>
    <n v="2"/>
    <x v="2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x v="12"/>
    <n v="8"/>
    <n v="1"/>
    <m/>
    <m/>
    <x v="5"/>
  </r>
  <r>
    <n v="54"/>
    <x v="1"/>
    <s v="Travel_Rarely"/>
    <n v="1147"/>
    <s v="Sales"/>
    <n v="3"/>
    <n v="3"/>
    <s v="Marketing"/>
    <n v="1"/>
    <n v="303"/>
    <n v="4"/>
    <s v="Female"/>
    <n v="52"/>
    <n v="3"/>
    <x v="0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x v="0"/>
    <n v="5"/>
    <n v="1"/>
    <m/>
    <m/>
    <x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x v="0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x v="2"/>
    <n v="7"/>
    <n v="1"/>
    <m/>
    <m/>
    <x v="4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x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x v="1"/>
    <n v="1"/>
    <n v="1"/>
    <m/>
    <m/>
    <x v="2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x v="2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x v="0"/>
    <n v="7"/>
    <n v="1"/>
    <m/>
    <m/>
    <x v="0"/>
  </r>
  <r>
    <n v="38"/>
    <x v="1"/>
    <s v="Travel_Rarely"/>
    <n v="119"/>
    <s v="Sales"/>
    <n v="3"/>
    <n v="3"/>
    <s v="Life Sciences"/>
    <n v="1"/>
    <n v="307"/>
    <n v="1"/>
    <s v="Male"/>
    <n v="76"/>
    <n v="3"/>
    <x v="2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x v="8"/>
    <n v="13"/>
    <n v="1"/>
    <m/>
    <m/>
    <x v="5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x v="0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x v="1"/>
    <n v="4"/>
    <n v="1"/>
    <m/>
    <m/>
    <x v="2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x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x v="0"/>
    <n v="0"/>
    <n v="1"/>
    <m/>
    <m/>
    <x v="1"/>
  </r>
  <r>
    <n v="37"/>
    <x v="1"/>
    <s v="Travel_Frequently"/>
    <n v="319"/>
    <s v="Sales"/>
    <n v="4"/>
    <n v="4"/>
    <s v="Marketing"/>
    <n v="1"/>
    <n v="311"/>
    <n v="1"/>
    <s v="Male"/>
    <n v="41"/>
    <n v="3"/>
    <x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x v="8"/>
    <n v="8"/>
    <n v="1"/>
    <m/>
    <m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x v="2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x v="5"/>
    <n v="1"/>
    <n v="1"/>
    <m/>
    <m/>
    <x v="4"/>
  </r>
  <r>
    <n v="35"/>
    <x v="1"/>
    <s v="Travel_Frequently"/>
    <n v="944"/>
    <s v="Sales"/>
    <n v="1"/>
    <n v="3"/>
    <s v="Marketing"/>
    <n v="1"/>
    <n v="314"/>
    <n v="3"/>
    <s v="Female"/>
    <n v="92"/>
    <n v="3"/>
    <x v="2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x v="0"/>
    <n v="8"/>
    <n v="1"/>
    <m/>
    <m/>
    <x v="0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x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x v="0"/>
    <n v="1"/>
    <n v="1"/>
    <m/>
    <m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x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x v="3"/>
    <n v="2"/>
    <n v="1"/>
    <m/>
    <m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x v="4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x v="14"/>
    <n v="15"/>
    <n v="1"/>
    <m/>
    <m/>
    <x v="3"/>
  </r>
  <r>
    <n v="59"/>
    <x v="1"/>
    <s v="Travel_Rarely"/>
    <n v="818"/>
    <s v="Human Resources"/>
    <n v="6"/>
    <n v="2"/>
    <s v="Medical"/>
    <n v="1"/>
    <n v="321"/>
    <n v="2"/>
    <s v="Male"/>
    <n v="52"/>
    <n v="3"/>
    <x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x v="3"/>
    <n v="2"/>
    <n v="1"/>
    <m/>
    <m/>
    <x v="1"/>
  </r>
  <r>
    <n v="50"/>
    <x v="1"/>
    <s v="Travel_Rarely"/>
    <n v="854"/>
    <s v="Sales"/>
    <n v="1"/>
    <n v="4"/>
    <s v="Medical"/>
    <n v="1"/>
    <n v="323"/>
    <n v="4"/>
    <s v="Female"/>
    <n v="68"/>
    <n v="3"/>
    <x v="4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x v="0"/>
    <n v="6"/>
    <n v="1"/>
    <m/>
    <m/>
    <x v="0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x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x v="0"/>
    <n v="4"/>
    <n v="1"/>
    <m/>
    <m/>
    <x v="2"/>
  </r>
  <r>
    <n v="43"/>
    <x v="1"/>
    <s v="Travel_Rarely"/>
    <n v="1034"/>
    <s v="Sales"/>
    <n v="16"/>
    <n v="3"/>
    <s v="Marketing"/>
    <n v="1"/>
    <n v="327"/>
    <n v="4"/>
    <s v="Female"/>
    <n v="80"/>
    <n v="3"/>
    <x v="3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x v="1"/>
    <n v="9"/>
    <n v="1"/>
    <m/>
    <m/>
    <x v="5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x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x v="1"/>
    <n v="7"/>
    <n v="1"/>
    <m/>
    <m/>
    <x v="0"/>
  </r>
  <r>
    <n v="52"/>
    <x v="1"/>
    <s v="Non-Travel"/>
    <n v="771"/>
    <s v="Sales"/>
    <n v="2"/>
    <n v="4"/>
    <s v="Life Sciences"/>
    <n v="1"/>
    <n v="329"/>
    <n v="1"/>
    <s v="Male"/>
    <n v="79"/>
    <n v="2"/>
    <x v="4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x v="9"/>
    <n v="12"/>
    <n v="1"/>
    <m/>
    <m/>
    <x v="3"/>
  </r>
  <r>
    <n v="32"/>
    <x v="1"/>
    <s v="Travel_Rarely"/>
    <n v="1401"/>
    <s v="Sales"/>
    <n v="4"/>
    <n v="2"/>
    <s v="Life Sciences"/>
    <n v="1"/>
    <n v="330"/>
    <n v="3"/>
    <s v="Female"/>
    <n v="56"/>
    <n v="3"/>
    <x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x v="1"/>
    <n v="2"/>
    <n v="1"/>
    <m/>
    <m/>
    <x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x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x v="1"/>
    <n v="2"/>
    <n v="1"/>
    <m/>
    <m/>
    <x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x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x v="1"/>
    <n v="2"/>
    <n v="1"/>
    <m/>
    <m/>
    <x v="2"/>
  </r>
  <r>
    <n v="32"/>
    <x v="1"/>
    <s v="Non-Travel"/>
    <n v="976"/>
    <s v="Sales"/>
    <n v="26"/>
    <n v="4"/>
    <s v="Marketing"/>
    <n v="1"/>
    <n v="333"/>
    <n v="3"/>
    <s v="Male"/>
    <n v="100"/>
    <n v="3"/>
    <x v="0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x v="3"/>
    <n v="2"/>
    <n v="1"/>
    <m/>
    <m/>
    <x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x v="0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x v="0"/>
    <n v="0"/>
    <n v="1"/>
    <m/>
    <m/>
    <x v="1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x v="0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x v="5"/>
    <n v="7"/>
    <n v="1"/>
    <m/>
    <m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x v="4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x v="1"/>
    <n v="7"/>
    <n v="1"/>
    <m/>
    <m/>
    <x v="3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x v="2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x v="3"/>
    <n v="2"/>
    <n v="1"/>
    <m/>
    <m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x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x v="0"/>
    <n v="2"/>
    <n v="1"/>
    <m/>
    <m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x v="0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x v="8"/>
    <n v="9"/>
    <n v="1"/>
    <m/>
    <m/>
    <x v="4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x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x v="0"/>
    <n v="2"/>
    <n v="1"/>
    <m/>
    <m/>
    <x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x v="0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x v="0"/>
    <n v="2"/>
    <n v="1"/>
    <m/>
    <m/>
    <x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x v="2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x v="0"/>
    <n v="0"/>
    <n v="1"/>
    <m/>
    <m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x v="2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x v="14"/>
    <n v="8"/>
    <n v="1"/>
    <m/>
    <m/>
    <x v="5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x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x v="1"/>
    <n v="5"/>
    <n v="1"/>
    <m/>
    <m/>
    <x v="0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x v="0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x v="0"/>
    <n v="2"/>
    <n v="1"/>
    <m/>
    <m/>
    <x v="2"/>
  </r>
  <r>
    <n v="29"/>
    <x v="1"/>
    <s v="Travel_Rarely"/>
    <n v="1247"/>
    <s v="Sales"/>
    <n v="20"/>
    <n v="2"/>
    <s v="Marketing"/>
    <n v="1"/>
    <n v="349"/>
    <n v="4"/>
    <s v="Male"/>
    <n v="45"/>
    <n v="3"/>
    <x v="0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x v="0"/>
    <n v="2"/>
    <n v="1"/>
    <m/>
    <m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x v="0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x v="1"/>
    <n v="2"/>
    <n v="1"/>
    <m/>
    <m/>
    <x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x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x v="4"/>
    <n v="8"/>
    <n v="1"/>
    <m/>
    <m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x v="4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x v="2"/>
    <n v="9"/>
    <n v="1"/>
    <m/>
    <m/>
    <x v="3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x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x v="0"/>
    <n v="0"/>
    <n v="1"/>
    <m/>
    <m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x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x v="1"/>
    <n v="4"/>
    <n v="1"/>
    <m/>
    <m/>
    <x v="2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x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x v="0"/>
    <n v="3"/>
    <n v="1"/>
    <m/>
    <m/>
    <x v="2"/>
  </r>
  <r>
    <n v="38"/>
    <x v="1"/>
    <s v="Non-Travel"/>
    <n v="1327"/>
    <s v="Sales"/>
    <n v="2"/>
    <n v="2"/>
    <s v="Life Sciences"/>
    <n v="1"/>
    <n v="361"/>
    <n v="4"/>
    <s v="Male"/>
    <n v="39"/>
    <n v="2"/>
    <x v="0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x v="4"/>
    <n v="5"/>
    <n v="1"/>
    <m/>
    <m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x v="0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x v="0"/>
    <n v="4"/>
    <n v="1"/>
    <m/>
    <m/>
    <x v="0"/>
  </r>
  <r>
    <n v="46"/>
    <x v="1"/>
    <s v="Travel_Rarely"/>
    <n v="488"/>
    <s v="Sales"/>
    <n v="2"/>
    <n v="3"/>
    <s v="Technical Degree"/>
    <n v="1"/>
    <n v="363"/>
    <n v="3"/>
    <s v="Female"/>
    <n v="75"/>
    <n v="1"/>
    <x v="3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x v="4"/>
    <n v="7"/>
    <n v="1"/>
    <m/>
    <m/>
    <x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x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x v="0"/>
    <n v="0"/>
    <n v="1"/>
    <m/>
    <m/>
    <x v="1"/>
  </r>
  <r>
    <n v="29"/>
    <x v="1"/>
    <s v="Travel_Rarely"/>
    <n v="1210"/>
    <s v="Sales"/>
    <n v="2"/>
    <n v="3"/>
    <s v="Medical"/>
    <n v="1"/>
    <n v="366"/>
    <n v="1"/>
    <s v="Male"/>
    <n v="78"/>
    <n v="2"/>
    <x v="0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x v="0"/>
    <n v="0"/>
    <n v="1"/>
    <m/>
    <m/>
    <x v="1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x v="0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x v="4"/>
    <n v="8"/>
    <n v="1"/>
    <m/>
    <m/>
    <x v="0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x v="0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x v="1"/>
    <n v="5"/>
    <n v="1"/>
    <m/>
    <m/>
    <x v="0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x v="3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x v="5"/>
    <n v="10"/>
    <n v="1"/>
    <m/>
    <m/>
    <x v="5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x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x v="13"/>
    <n v="11"/>
    <n v="1"/>
    <m/>
    <m/>
    <x v="4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x v="4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x v="5"/>
    <n v="13"/>
    <n v="1"/>
    <m/>
    <m/>
    <x v="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x v="2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x v="10"/>
    <n v="9"/>
    <n v="1"/>
    <m/>
    <m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x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x v="0"/>
    <n v="4"/>
    <n v="1"/>
    <m/>
    <m/>
    <x v="2"/>
  </r>
  <r>
    <n v="37"/>
    <x v="1"/>
    <s v="Travel_Rarely"/>
    <n v="228"/>
    <s v="Sales"/>
    <n v="6"/>
    <n v="4"/>
    <s v="Medical"/>
    <n v="1"/>
    <n v="378"/>
    <n v="3"/>
    <s v="Male"/>
    <n v="98"/>
    <n v="3"/>
    <x v="0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x v="0"/>
    <n v="1"/>
    <n v="1"/>
    <m/>
    <m/>
    <x v="2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x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x v="1"/>
    <n v="0"/>
    <n v="1"/>
    <m/>
    <m/>
    <x v="2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x v="2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x v="0"/>
    <n v="2"/>
    <n v="1"/>
    <m/>
    <m/>
    <x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x v="2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x v="7"/>
    <n v="2"/>
    <n v="1"/>
    <m/>
    <m/>
    <x v="0"/>
  </r>
  <r>
    <n v="38"/>
    <x v="1"/>
    <s v="Travel_Rarely"/>
    <n v="322"/>
    <s v="Sales"/>
    <n v="7"/>
    <n v="2"/>
    <s v="Medical"/>
    <n v="1"/>
    <n v="382"/>
    <n v="1"/>
    <s v="Female"/>
    <n v="44"/>
    <n v="4"/>
    <x v="0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x v="4"/>
    <n v="7"/>
    <n v="1"/>
    <m/>
    <m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x v="0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x v="1"/>
    <n v="4"/>
    <n v="1"/>
    <m/>
    <m/>
    <x v="0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x v="4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x v="1"/>
    <n v="6"/>
    <n v="1"/>
    <m/>
    <m/>
    <x v="0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x v="3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x v="1"/>
    <n v="3"/>
    <n v="1"/>
    <m/>
    <m/>
    <x v="2"/>
  </r>
  <r>
    <n v="42"/>
    <x v="1"/>
    <s v="Travel_Rarely"/>
    <n v="635"/>
    <s v="Sales"/>
    <n v="1"/>
    <n v="1"/>
    <s v="Life Sciences"/>
    <n v="1"/>
    <n v="387"/>
    <n v="2"/>
    <s v="Male"/>
    <n v="99"/>
    <n v="3"/>
    <x v="0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x v="14"/>
    <n v="6"/>
    <n v="1"/>
    <m/>
    <m/>
    <x v="5"/>
  </r>
  <r>
    <n v="29"/>
    <x v="1"/>
    <s v="Travel_Frequently"/>
    <n v="442"/>
    <s v="Sales"/>
    <n v="2"/>
    <n v="2"/>
    <s v="Life Sciences"/>
    <n v="1"/>
    <n v="388"/>
    <n v="2"/>
    <s v="Male"/>
    <n v="44"/>
    <n v="3"/>
    <x v="0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x v="0"/>
    <n v="9"/>
    <n v="1"/>
    <m/>
    <m/>
    <x v="0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x v="0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x v="0"/>
    <n v="8"/>
    <n v="1"/>
    <m/>
    <m/>
    <x v="0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x v="0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x v="2"/>
    <n v="3"/>
    <n v="1"/>
    <m/>
    <m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x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x v="8"/>
    <n v="7"/>
    <n v="1"/>
    <m/>
    <m/>
    <x v="5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x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x v="0"/>
    <n v="0"/>
    <n v="1"/>
    <m/>
    <m/>
    <x v="1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x v="0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x v="1"/>
    <n v="2"/>
    <n v="1"/>
    <m/>
    <m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x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x v="0"/>
    <n v="2"/>
    <n v="1"/>
    <m/>
    <m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x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x v="0"/>
    <n v="2"/>
    <n v="1"/>
    <m/>
    <m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x v="4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x v="1"/>
    <n v="2"/>
    <n v="1"/>
    <m/>
    <m/>
    <x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x v="0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x v="4"/>
    <n v="7"/>
    <n v="1"/>
    <m/>
    <m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x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x v="3"/>
    <n v="2"/>
    <n v="1"/>
    <m/>
    <m/>
    <x v="1"/>
  </r>
  <r>
    <n v="26"/>
    <x v="0"/>
    <s v="Travel_Rarely"/>
    <n v="950"/>
    <s v="Sales"/>
    <n v="4"/>
    <n v="4"/>
    <s v="Marketing"/>
    <n v="1"/>
    <n v="401"/>
    <n v="4"/>
    <s v="Male"/>
    <n v="48"/>
    <n v="2"/>
    <x v="0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x v="4"/>
    <n v="4"/>
    <n v="1"/>
    <m/>
    <m/>
    <x v="0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x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x v="1"/>
    <n v="2"/>
    <n v="1"/>
    <m/>
    <m/>
    <x v="2"/>
  </r>
  <r>
    <n v="42"/>
    <x v="1"/>
    <s v="Travel_Frequently"/>
    <n v="555"/>
    <s v="Sales"/>
    <n v="26"/>
    <n v="3"/>
    <s v="Marketing"/>
    <n v="1"/>
    <n v="404"/>
    <n v="3"/>
    <s v="Female"/>
    <n v="77"/>
    <n v="3"/>
    <x v="3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x v="5"/>
    <n v="8"/>
    <n v="1"/>
    <m/>
    <m/>
    <x v="5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x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x v="0"/>
    <n v="0"/>
    <n v="1"/>
    <m/>
    <m/>
    <x v="1"/>
  </r>
  <r>
    <n v="35"/>
    <x v="1"/>
    <s v="Travel_Rarely"/>
    <n v="1232"/>
    <s v="Sales"/>
    <n v="16"/>
    <n v="3"/>
    <s v="Marketing"/>
    <n v="1"/>
    <n v="406"/>
    <n v="3"/>
    <s v="Male"/>
    <n v="96"/>
    <n v="3"/>
    <x v="2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x v="7"/>
    <n v="9"/>
    <n v="1"/>
    <m/>
    <m/>
    <x v="4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x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x v="0"/>
    <n v="0"/>
    <n v="1"/>
    <m/>
    <m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x v="0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x v="1"/>
    <n v="2"/>
    <n v="1"/>
    <m/>
    <m/>
    <x v="2"/>
  </r>
  <r>
    <n v="41"/>
    <x v="1"/>
    <s v="Travel_Rarely"/>
    <n v="334"/>
    <s v="Sales"/>
    <n v="2"/>
    <n v="4"/>
    <s v="Life Sciences"/>
    <n v="1"/>
    <n v="410"/>
    <n v="4"/>
    <s v="Male"/>
    <n v="88"/>
    <n v="3"/>
    <x v="3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x v="0"/>
    <n v="4"/>
    <n v="1"/>
    <m/>
    <m/>
    <x v="3"/>
  </r>
  <r>
    <n v="18"/>
    <x v="1"/>
    <s v="Travel_Rarely"/>
    <n v="812"/>
    <s v="Sales"/>
    <n v="10"/>
    <n v="3"/>
    <s v="Medical"/>
    <n v="1"/>
    <n v="411"/>
    <n v="4"/>
    <s v="Female"/>
    <n v="69"/>
    <n v="2"/>
    <x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x v="0"/>
    <n v="0"/>
    <n v="1"/>
    <m/>
    <m/>
    <x v="1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x v="0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x v="0"/>
    <n v="7"/>
    <n v="1"/>
    <m/>
    <m/>
    <x v="0"/>
  </r>
  <r>
    <n v="31"/>
    <x v="1"/>
    <s v="Travel_Rarely"/>
    <n v="218"/>
    <s v="Sales"/>
    <n v="7"/>
    <n v="3"/>
    <s v="Technical Degree"/>
    <n v="1"/>
    <n v="416"/>
    <n v="2"/>
    <s v="Male"/>
    <n v="100"/>
    <n v="4"/>
    <x v="0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x v="4"/>
    <n v="7"/>
    <n v="1"/>
    <m/>
    <m/>
    <x v="0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x v="2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x v="2"/>
    <n v="7"/>
    <n v="1"/>
    <m/>
    <m/>
    <x v="5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x v="0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x v="0"/>
    <n v="8"/>
    <n v="1"/>
    <m/>
    <m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x v="0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x v="5"/>
    <n v="8"/>
    <n v="1"/>
    <m/>
    <m/>
    <x v="4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x v="2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x v="0"/>
    <n v="1"/>
    <n v="1"/>
    <m/>
    <m/>
    <x v="0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x v="0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x v="1"/>
    <n v="2"/>
    <n v="1"/>
    <m/>
    <m/>
    <x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x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x v="0"/>
    <n v="3"/>
    <n v="1"/>
    <m/>
    <m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x v="0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x v="1"/>
    <n v="0"/>
    <n v="1"/>
    <m/>
    <m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x v="2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x v="10"/>
    <n v="11"/>
    <n v="1"/>
    <m/>
    <m/>
    <x v="3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x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x v="3"/>
    <n v="2"/>
    <n v="1"/>
    <m/>
    <m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x v="2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x v="6"/>
    <n v="8"/>
    <n v="1"/>
    <m/>
    <m/>
    <x v="0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x v="3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x v="14"/>
    <n v="10"/>
    <n v="1"/>
    <m/>
    <m/>
    <x v="3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x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x v="1"/>
    <n v="7"/>
    <n v="1"/>
    <m/>
    <m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x v="3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x v="0"/>
    <n v="7"/>
    <n v="1"/>
    <m/>
    <m/>
    <x v="0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x v="0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x v="4"/>
    <n v="7"/>
    <n v="1"/>
    <m/>
    <m/>
    <x v="0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x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x v="1"/>
    <n v="2"/>
    <n v="1"/>
    <m/>
    <m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x v="0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x v="14"/>
    <n v="9"/>
    <n v="1"/>
    <m/>
    <m/>
    <x v="4"/>
  </r>
  <r>
    <n v="27"/>
    <x v="1"/>
    <s v="Travel_Rarely"/>
    <n v="1377"/>
    <s v="Sales"/>
    <n v="2"/>
    <n v="3"/>
    <s v="Life Sciences"/>
    <n v="1"/>
    <n v="437"/>
    <n v="4"/>
    <s v="Male"/>
    <n v="74"/>
    <n v="3"/>
    <x v="0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x v="0"/>
    <n v="4"/>
    <n v="1"/>
    <m/>
    <m/>
    <x v="2"/>
  </r>
  <r>
    <n v="31"/>
    <x v="1"/>
    <s v="Travel_Rarely"/>
    <n v="691"/>
    <s v="Sales"/>
    <n v="7"/>
    <n v="3"/>
    <s v="Marketing"/>
    <n v="1"/>
    <n v="438"/>
    <n v="4"/>
    <s v="Male"/>
    <n v="73"/>
    <n v="3"/>
    <x v="0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x v="1"/>
    <n v="7"/>
    <n v="1"/>
    <m/>
    <m/>
    <x v="0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x v="0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x v="0"/>
    <n v="7"/>
    <n v="1"/>
    <m/>
    <m/>
    <x v="0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x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x v="3"/>
    <n v="2"/>
    <n v="1"/>
    <m/>
    <m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x v="0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x v="1"/>
    <n v="9"/>
    <n v="1"/>
    <m/>
    <m/>
    <x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x v="2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x v="6"/>
    <n v="9"/>
    <n v="1"/>
    <m/>
    <m/>
    <x v="0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x v="4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x v="11"/>
    <n v="3"/>
    <n v="1"/>
    <m/>
    <m/>
    <x v="3"/>
  </r>
  <r>
    <n v="39"/>
    <x v="0"/>
    <s v="Travel_Rarely"/>
    <n v="1162"/>
    <s v="Sales"/>
    <n v="3"/>
    <n v="2"/>
    <s v="Medical"/>
    <n v="1"/>
    <n v="445"/>
    <n v="4"/>
    <s v="Female"/>
    <n v="41"/>
    <n v="3"/>
    <x v="0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x v="0"/>
    <n v="0"/>
    <n v="1"/>
    <m/>
    <m/>
    <x v="1"/>
  </r>
  <r>
    <n v="33"/>
    <x v="1"/>
    <s v="Travel_Frequently"/>
    <n v="508"/>
    <s v="Sales"/>
    <n v="10"/>
    <n v="3"/>
    <s v="Marketing"/>
    <n v="1"/>
    <n v="446"/>
    <n v="2"/>
    <s v="Male"/>
    <n v="46"/>
    <n v="2"/>
    <x v="0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x v="0"/>
    <n v="1"/>
    <n v="1"/>
    <m/>
    <m/>
    <x v="0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x v="4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x v="1"/>
    <n v="1"/>
    <n v="1"/>
    <m/>
    <m/>
    <x v="2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x v="0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x v="0"/>
    <n v="0"/>
    <n v="1"/>
    <m/>
    <m/>
    <x v="0"/>
  </r>
  <r>
    <n v="27"/>
    <x v="1"/>
    <s v="Non-Travel"/>
    <n v="210"/>
    <s v="Sales"/>
    <n v="1"/>
    <n v="1"/>
    <s v="Marketing"/>
    <n v="1"/>
    <n v="449"/>
    <n v="3"/>
    <s v="Male"/>
    <n v="73"/>
    <n v="3"/>
    <x v="0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x v="1"/>
    <n v="4"/>
    <n v="1"/>
    <m/>
    <m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x v="0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x v="0"/>
    <n v="3"/>
    <n v="1"/>
    <m/>
    <m/>
    <x v="2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x v="2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x v="0"/>
    <n v="0"/>
    <n v="1"/>
    <m/>
    <m/>
    <x v="1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x v="0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x v="10"/>
    <n v="8"/>
    <n v="1"/>
    <m/>
    <m/>
    <x v="0"/>
  </r>
  <r>
    <n v="40"/>
    <x v="1"/>
    <s v="Travel_Rarely"/>
    <n v="1124"/>
    <s v="Sales"/>
    <n v="1"/>
    <n v="2"/>
    <s v="Medical"/>
    <n v="1"/>
    <n v="453"/>
    <n v="2"/>
    <s v="Male"/>
    <n v="57"/>
    <n v="1"/>
    <x v="0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x v="0"/>
    <n v="2"/>
    <n v="1"/>
    <m/>
    <m/>
    <x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x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x v="0"/>
    <n v="7"/>
    <n v="1"/>
    <m/>
    <m/>
    <x v="0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x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x v="3"/>
    <n v="2"/>
    <n v="1"/>
    <m/>
    <m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x v="0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x v="1"/>
    <n v="2"/>
    <n v="1"/>
    <m/>
    <m/>
    <x v="0"/>
  </r>
  <r>
    <n v="27"/>
    <x v="1"/>
    <s v="Travel_Rarely"/>
    <n v="1130"/>
    <s v="Sales"/>
    <n v="8"/>
    <n v="4"/>
    <s v="Marketing"/>
    <n v="1"/>
    <n v="458"/>
    <n v="2"/>
    <s v="Female"/>
    <n v="56"/>
    <n v="3"/>
    <x v="0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x v="0"/>
    <n v="7"/>
    <n v="1"/>
    <m/>
    <m/>
    <x v="0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x v="0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x v="0"/>
    <n v="4"/>
    <n v="1"/>
    <m/>
    <m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x v="2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x v="3"/>
    <n v="9"/>
    <n v="1"/>
    <m/>
    <m/>
    <x v="4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x v="2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x v="5"/>
    <n v="10"/>
    <n v="1"/>
    <m/>
    <m/>
    <x v="4"/>
  </r>
  <r>
    <n v="29"/>
    <x v="1"/>
    <s v="Travel_Rarely"/>
    <n v="144"/>
    <s v="Sales"/>
    <n v="10"/>
    <n v="1"/>
    <s v="Marketing"/>
    <n v="1"/>
    <n v="463"/>
    <n v="4"/>
    <s v="Female"/>
    <n v="39"/>
    <n v="2"/>
    <x v="0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x v="1"/>
    <n v="7"/>
    <n v="1"/>
    <m/>
    <m/>
    <x v="0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x v="2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x v="0"/>
    <n v="13"/>
    <n v="1"/>
    <m/>
    <m/>
    <x v="5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x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x v="0"/>
    <n v="2"/>
    <n v="1"/>
    <m/>
    <m/>
    <x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x v="0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x v="1"/>
    <n v="2"/>
    <n v="1"/>
    <m/>
    <m/>
    <x v="2"/>
  </r>
  <r>
    <n v="47"/>
    <x v="1"/>
    <s v="Travel_Frequently"/>
    <n v="1309"/>
    <s v="Sales"/>
    <n v="4"/>
    <n v="1"/>
    <s v="Medical"/>
    <n v="1"/>
    <n v="467"/>
    <n v="2"/>
    <s v="Male"/>
    <n v="99"/>
    <n v="3"/>
    <x v="0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x v="0"/>
    <n v="0"/>
    <n v="1"/>
    <m/>
    <m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x v="3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x v="0"/>
    <n v="0"/>
    <n v="1"/>
    <m/>
    <m/>
    <x v="1"/>
  </r>
  <r>
    <n v="29"/>
    <x v="1"/>
    <s v="Non-Travel"/>
    <n v="746"/>
    <s v="Sales"/>
    <n v="2"/>
    <n v="3"/>
    <s v="Life Sciences"/>
    <n v="1"/>
    <n v="469"/>
    <n v="4"/>
    <s v="Male"/>
    <n v="61"/>
    <n v="3"/>
    <x v="0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x v="0"/>
    <n v="2"/>
    <n v="1"/>
    <m/>
    <m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x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x v="1"/>
    <n v="0"/>
    <n v="1"/>
    <m/>
    <m/>
    <x v="2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x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x v="0"/>
    <n v="7"/>
    <n v="1"/>
    <m/>
    <m/>
    <x v="0"/>
  </r>
  <r>
    <n v="48"/>
    <x v="1"/>
    <s v="Travel_Rarely"/>
    <n v="530"/>
    <s v="Sales"/>
    <n v="29"/>
    <n v="1"/>
    <s v="Medical"/>
    <n v="1"/>
    <n v="473"/>
    <n v="1"/>
    <s v="Female"/>
    <n v="91"/>
    <n v="3"/>
    <x v="2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x v="0"/>
    <n v="0"/>
    <n v="1"/>
    <m/>
    <m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x v="0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x v="7"/>
    <n v="7"/>
    <n v="1"/>
    <m/>
    <m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x v="0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x v="3"/>
    <n v="2"/>
    <n v="1"/>
    <m/>
    <m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x v="0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x v="4"/>
    <n v="7"/>
    <n v="1"/>
    <m/>
    <m/>
    <x v="0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x v="0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x v="0"/>
    <n v="0"/>
    <n v="1"/>
    <m/>
    <m/>
    <x v="1"/>
  </r>
  <r>
    <n v="21"/>
    <x v="0"/>
    <s v="Travel_Frequently"/>
    <n v="756"/>
    <s v="Sales"/>
    <n v="1"/>
    <n v="1"/>
    <s v="Technical Degree"/>
    <n v="1"/>
    <n v="478"/>
    <n v="1"/>
    <s v="Female"/>
    <n v="99"/>
    <n v="2"/>
    <x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x v="1"/>
    <n v="2"/>
    <n v="1"/>
    <m/>
    <m/>
    <x v="2"/>
  </r>
  <r>
    <n v="36"/>
    <x v="1"/>
    <s v="Non-Travel"/>
    <n v="845"/>
    <s v="Sales"/>
    <n v="1"/>
    <n v="5"/>
    <s v="Medical"/>
    <n v="1"/>
    <n v="479"/>
    <n v="4"/>
    <s v="Female"/>
    <n v="45"/>
    <n v="3"/>
    <x v="0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x v="0"/>
    <n v="0"/>
    <n v="1"/>
    <m/>
    <m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x v="2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x v="1"/>
    <n v="12"/>
    <n v="1"/>
    <m/>
    <m/>
    <x v="4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x v="0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x v="1"/>
    <n v="2"/>
    <n v="1"/>
    <m/>
    <m/>
    <x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x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x v="1"/>
    <n v="7"/>
    <n v="1"/>
    <m/>
    <m/>
    <x v="0"/>
  </r>
  <r>
    <n v="21"/>
    <x v="1"/>
    <s v="Non-Travel"/>
    <n v="895"/>
    <s v="Sales"/>
    <n v="9"/>
    <n v="2"/>
    <s v="Medical"/>
    <n v="1"/>
    <n v="484"/>
    <n v="1"/>
    <s v="Male"/>
    <n v="39"/>
    <n v="3"/>
    <x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x v="3"/>
    <n v="2"/>
    <n v="1"/>
    <m/>
    <m/>
    <x v="2"/>
  </r>
  <r>
    <n v="33"/>
    <x v="0"/>
    <s v="Travel_Rarely"/>
    <n v="350"/>
    <s v="Sales"/>
    <n v="5"/>
    <n v="3"/>
    <s v="Marketing"/>
    <n v="1"/>
    <n v="485"/>
    <n v="4"/>
    <s v="Female"/>
    <n v="34"/>
    <n v="3"/>
    <x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x v="0"/>
    <n v="0"/>
    <n v="1"/>
    <m/>
    <m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x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x v="0"/>
    <n v="3"/>
    <n v="1"/>
    <m/>
    <m/>
    <x v="2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x v="0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x v="0"/>
    <n v="0"/>
    <n v="1"/>
    <m/>
    <m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x v="0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x v="4"/>
    <n v="7"/>
    <n v="1"/>
    <m/>
    <m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x v="2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x v="1"/>
    <n v="3"/>
    <n v="1"/>
    <m/>
    <m/>
    <x v="2"/>
  </r>
  <r>
    <n v="40"/>
    <x v="0"/>
    <s v="Travel_Rarely"/>
    <n v="575"/>
    <s v="Sales"/>
    <n v="22"/>
    <n v="2"/>
    <s v="Marketing"/>
    <n v="1"/>
    <n v="492"/>
    <n v="3"/>
    <s v="Male"/>
    <n v="68"/>
    <n v="2"/>
    <x v="0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x v="1"/>
    <n v="0"/>
    <n v="1"/>
    <m/>
    <m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x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x v="3"/>
    <n v="2"/>
    <n v="1"/>
    <m/>
    <m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x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x v="0"/>
    <n v="0"/>
    <n v="1"/>
    <m/>
    <m/>
    <x v="1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x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x v="1"/>
    <n v="2"/>
    <n v="1"/>
    <m/>
    <m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x v="0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x v="0"/>
    <n v="0"/>
    <n v="1"/>
    <m/>
    <m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x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x v="0"/>
    <n v="4"/>
    <n v="1"/>
    <m/>
    <m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x v="0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x v="0"/>
    <n v="7"/>
    <n v="1"/>
    <m/>
    <m/>
    <x v="0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x v="2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x v="0"/>
    <n v="0"/>
    <n v="1"/>
    <m/>
    <m/>
    <x v="2"/>
  </r>
  <r>
    <n v="51"/>
    <x v="1"/>
    <s v="Travel_Rarely"/>
    <n v="1178"/>
    <s v="Sales"/>
    <n v="14"/>
    <n v="2"/>
    <s v="Life Sciences"/>
    <n v="1"/>
    <n v="500"/>
    <n v="3"/>
    <s v="Female"/>
    <n v="87"/>
    <n v="3"/>
    <x v="0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x v="0"/>
    <n v="7"/>
    <n v="1"/>
    <m/>
    <m/>
    <x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x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x v="3"/>
    <n v="2"/>
    <n v="1"/>
    <m/>
    <m/>
    <x v="1"/>
  </r>
  <r>
    <n v="34"/>
    <x v="0"/>
    <s v="Non-Travel"/>
    <n v="1362"/>
    <s v="Sales"/>
    <n v="19"/>
    <n v="3"/>
    <s v="Marketing"/>
    <n v="1"/>
    <n v="502"/>
    <n v="1"/>
    <s v="Male"/>
    <n v="67"/>
    <n v="4"/>
    <x v="0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x v="0"/>
    <n v="4"/>
    <n v="1"/>
    <m/>
    <m/>
    <x v="2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x v="3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x v="1"/>
    <n v="2"/>
    <n v="1"/>
    <m/>
    <m/>
    <x v="2"/>
  </r>
  <r>
    <n v="24"/>
    <x v="1"/>
    <s v="Travel_Rarely"/>
    <n v="1371"/>
    <s v="Sales"/>
    <n v="10"/>
    <n v="4"/>
    <s v="Marketing"/>
    <n v="1"/>
    <n v="507"/>
    <n v="4"/>
    <s v="Female"/>
    <n v="77"/>
    <n v="3"/>
    <x v="0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x v="0"/>
    <n v="3"/>
    <n v="1"/>
    <m/>
    <m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x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x v="0"/>
    <n v="0"/>
    <n v="1"/>
    <m/>
    <m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x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x v="0"/>
    <n v="4"/>
    <n v="1"/>
    <m/>
    <m/>
    <x v="0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x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x v="1"/>
    <n v="2"/>
    <n v="1"/>
    <m/>
    <m/>
    <x v="1"/>
  </r>
  <r>
    <n v="36"/>
    <x v="1"/>
    <s v="Travel_Rarely"/>
    <n v="164"/>
    <s v="Sales"/>
    <n v="2"/>
    <n v="2"/>
    <s v="Medical"/>
    <n v="1"/>
    <n v="513"/>
    <n v="2"/>
    <s v="Male"/>
    <n v="61"/>
    <n v="2"/>
    <x v="2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x v="10"/>
    <n v="0"/>
    <n v="1"/>
    <m/>
    <m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x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x v="0"/>
    <n v="0"/>
    <n v="1"/>
    <m/>
    <m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x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x v="12"/>
    <n v="17"/>
    <n v="1"/>
    <m/>
    <m/>
    <x v="5"/>
  </r>
  <r>
    <n v="40"/>
    <x v="1"/>
    <s v="Travel_Rarely"/>
    <n v="759"/>
    <s v="Sales"/>
    <n v="2"/>
    <n v="2"/>
    <s v="Marketing"/>
    <n v="1"/>
    <n v="516"/>
    <n v="4"/>
    <s v="Female"/>
    <n v="46"/>
    <n v="3"/>
    <x v="0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x v="1"/>
    <n v="3"/>
    <n v="1"/>
    <m/>
    <m/>
    <x v="2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x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x v="1"/>
    <n v="2"/>
    <n v="1"/>
    <m/>
    <m/>
    <x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x v="0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x v="0"/>
    <n v="1"/>
    <n v="1"/>
    <m/>
    <m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x v="3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x v="2"/>
    <n v="9"/>
    <n v="1"/>
    <m/>
    <m/>
    <x v="3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x v="0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x v="0"/>
    <n v="0"/>
    <n v="1"/>
    <m/>
    <m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x v="4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x v="1"/>
    <n v="2"/>
    <n v="1"/>
    <m/>
    <m/>
    <x v="2"/>
  </r>
  <r>
    <n v="34"/>
    <x v="1"/>
    <s v="Non-Travel"/>
    <n v="1381"/>
    <s v="Sales"/>
    <n v="4"/>
    <n v="4"/>
    <s v="Marketing"/>
    <n v="1"/>
    <n v="523"/>
    <n v="3"/>
    <s v="Female"/>
    <n v="72"/>
    <n v="3"/>
    <x v="0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x v="1"/>
    <n v="2"/>
    <n v="1"/>
    <m/>
    <m/>
    <x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x v="0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x v="2"/>
    <n v="12"/>
    <n v="1"/>
    <m/>
    <m/>
    <x v="4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x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x v="1"/>
    <n v="2"/>
    <n v="1"/>
    <m/>
    <m/>
    <x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x v="0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x v="0"/>
    <n v="2"/>
    <n v="1"/>
    <m/>
    <m/>
    <x v="2"/>
  </r>
  <r>
    <n v="25"/>
    <x v="1"/>
    <s v="Travel_Rarely"/>
    <n v="891"/>
    <s v="Sales"/>
    <n v="4"/>
    <n v="2"/>
    <s v="Life Sciences"/>
    <n v="1"/>
    <n v="527"/>
    <n v="2"/>
    <s v="Female"/>
    <n v="99"/>
    <n v="2"/>
    <x v="0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x v="1"/>
    <n v="3"/>
    <n v="1"/>
    <m/>
    <m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x v="0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x v="13"/>
    <n v="7"/>
    <n v="1"/>
    <m/>
    <m/>
    <x v="4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x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x v="2"/>
    <n v="2"/>
    <n v="1"/>
    <m/>
    <m/>
    <x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x v="4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x v="1"/>
    <n v="6"/>
    <n v="1"/>
    <m/>
    <m/>
    <x v="3"/>
  </r>
  <r>
    <n v="56"/>
    <x v="1"/>
    <s v="Travel_Frequently"/>
    <n v="906"/>
    <s v="Sales"/>
    <n v="6"/>
    <n v="3"/>
    <s v="Life Sciences"/>
    <n v="1"/>
    <n v="532"/>
    <n v="3"/>
    <s v="Female"/>
    <n v="86"/>
    <n v="4"/>
    <x v="3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x v="4"/>
    <n v="7"/>
    <n v="1"/>
    <m/>
    <m/>
    <x v="0"/>
  </r>
  <r>
    <n v="30"/>
    <x v="1"/>
    <s v="Travel_Rarely"/>
    <n v="1082"/>
    <s v="Sales"/>
    <n v="12"/>
    <n v="3"/>
    <s v="Technical Degree"/>
    <n v="1"/>
    <n v="533"/>
    <n v="2"/>
    <s v="Female"/>
    <n v="83"/>
    <n v="3"/>
    <x v="0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x v="5"/>
    <n v="4"/>
    <n v="1"/>
    <m/>
    <m/>
    <x v="2"/>
  </r>
  <r>
    <n v="41"/>
    <x v="1"/>
    <s v="Travel_Rarely"/>
    <n v="645"/>
    <s v="Sales"/>
    <n v="1"/>
    <n v="3"/>
    <s v="Marketing"/>
    <n v="1"/>
    <n v="534"/>
    <n v="2"/>
    <s v="Male"/>
    <n v="49"/>
    <n v="4"/>
    <x v="2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x v="0"/>
    <n v="7"/>
    <n v="1"/>
    <m/>
    <m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x v="0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x v="1"/>
    <n v="8"/>
    <n v="1"/>
    <m/>
    <m/>
    <x v="0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x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x v="0"/>
    <n v="2"/>
    <n v="1"/>
    <m/>
    <m/>
    <x v="1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x v="2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x v="0"/>
    <n v="4"/>
    <n v="1"/>
    <m/>
    <m/>
    <x v="2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x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x v="0"/>
    <n v="2"/>
    <n v="1"/>
    <m/>
    <m/>
    <x v="1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x v="3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x v="1"/>
    <n v="4"/>
    <n v="1"/>
    <m/>
    <m/>
    <x v="2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x v="0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x v="0"/>
    <n v="2"/>
    <n v="1"/>
    <m/>
    <m/>
    <x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x v="0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x v="0"/>
    <n v="2"/>
    <n v="1"/>
    <m/>
    <m/>
    <x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x v="4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x v="14"/>
    <n v="10"/>
    <n v="1"/>
    <m/>
    <m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x v="0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x v="0"/>
    <n v="8"/>
    <n v="1"/>
    <m/>
    <m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x v="0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x v="0"/>
    <n v="4"/>
    <n v="1"/>
    <m/>
    <m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x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x v="1"/>
    <n v="4"/>
    <n v="1"/>
    <m/>
    <m/>
    <x v="2"/>
  </r>
  <r>
    <n v="34"/>
    <x v="0"/>
    <s v="Travel_Frequently"/>
    <n v="296"/>
    <s v="Sales"/>
    <n v="6"/>
    <n v="2"/>
    <s v="Marketing"/>
    <n v="1"/>
    <n v="555"/>
    <n v="4"/>
    <s v="Female"/>
    <n v="33"/>
    <n v="1"/>
    <x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x v="1"/>
    <n v="0"/>
    <n v="1"/>
    <m/>
    <m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x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x v="0"/>
    <n v="0"/>
    <n v="1"/>
    <m/>
    <m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x v="4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x v="1"/>
    <n v="12"/>
    <n v="1"/>
    <m/>
    <m/>
    <x v="5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x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x v="0"/>
    <n v="2"/>
    <n v="1"/>
    <m/>
    <m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x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x v="1"/>
    <n v="4"/>
    <n v="1"/>
    <m/>
    <m/>
    <x v="2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x v="2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x v="0"/>
    <n v="7"/>
    <n v="1"/>
    <m/>
    <m/>
    <x v="0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x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x v="1"/>
    <n v="1"/>
    <n v="1"/>
    <m/>
    <m/>
    <x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x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x v="0"/>
    <n v="0"/>
    <n v="1"/>
    <m/>
    <m/>
    <x v="1"/>
  </r>
  <r>
    <n v="30"/>
    <x v="1"/>
    <s v="Non-Travel"/>
    <n v="1398"/>
    <s v="Sales"/>
    <n v="22"/>
    <n v="4"/>
    <s v="Other"/>
    <n v="1"/>
    <n v="567"/>
    <n v="3"/>
    <s v="Female"/>
    <n v="69"/>
    <n v="3"/>
    <x v="2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x v="4"/>
    <n v="8"/>
    <n v="1"/>
    <m/>
    <m/>
    <x v="0"/>
  </r>
  <r>
    <n v="57"/>
    <x v="1"/>
    <s v="Travel_Rarely"/>
    <n v="210"/>
    <s v="Sales"/>
    <n v="29"/>
    <n v="3"/>
    <s v="Marketing"/>
    <n v="1"/>
    <n v="568"/>
    <n v="1"/>
    <s v="Male"/>
    <n v="56"/>
    <n v="2"/>
    <x v="3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x v="0"/>
    <n v="0"/>
    <n v="1"/>
    <m/>
    <m/>
    <x v="1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x v="3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x v="9"/>
    <n v="7"/>
    <n v="1"/>
    <m/>
    <m/>
    <x v="3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x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x v="7"/>
    <n v="7"/>
    <n v="1"/>
    <m/>
    <m/>
    <x v="4"/>
  </r>
  <r>
    <n v="60"/>
    <x v="1"/>
    <s v="Travel_Frequently"/>
    <n v="1499"/>
    <s v="Sales"/>
    <n v="28"/>
    <n v="3"/>
    <s v="Marketing"/>
    <n v="1"/>
    <n v="573"/>
    <n v="3"/>
    <s v="Female"/>
    <n v="80"/>
    <n v="2"/>
    <x v="2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x v="11"/>
    <n v="11"/>
    <n v="1"/>
    <m/>
    <m/>
    <x v="5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x v="0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x v="0"/>
    <n v="4"/>
    <n v="1"/>
    <m/>
    <m/>
    <x v="2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x v="3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x v="0"/>
    <n v="1"/>
    <n v="1"/>
    <m/>
    <m/>
    <x v="2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x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x v="5"/>
    <n v="3"/>
    <n v="1"/>
    <m/>
    <m/>
    <x v="2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x v="0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x v="0"/>
    <n v="0"/>
    <n v="1"/>
    <m/>
    <m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x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x v="8"/>
    <n v="7"/>
    <n v="1"/>
    <m/>
    <m/>
    <x v="0"/>
  </r>
  <r>
    <n v="46"/>
    <x v="1"/>
    <s v="Travel_Rarely"/>
    <n v="1125"/>
    <s v="Sales"/>
    <n v="10"/>
    <n v="3"/>
    <s v="Marketing"/>
    <n v="1"/>
    <n v="580"/>
    <n v="3"/>
    <s v="Female"/>
    <n v="94"/>
    <n v="2"/>
    <x v="2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x v="1"/>
    <n v="2"/>
    <n v="1"/>
    <m/>
    <m/>
    <x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x v="2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x v="0"/>
    <n v="8"/>
    <n v="1"/>
    <m/>
    <m/>
    <x v="4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x v="2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x v="4"/>
    <n v="7"/>
    <n v="1"/>
    <m/>
    <m/>
    <x v="0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x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x v="1"/>
    <n v="3"/>
    <n v="1"/>
    <m/>
    <m/>
    <x v="2"/>
  </r>
  <r>
    <n v="30"/>
    <x v="1"/>
    <s v="Travel_Rarely"/>
    <n v="413"/>
    <s v="Sales"/>
    <n v="7"/>
    <n v="1"/>
    <s v="Marketing"/>
    <n v="1"/>
    <n v="585"/>
    <n v="4"/>
    <s v="Male"/>
    <n v="57"/>
    <n v="3"/>
    <x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x v="1"/>
    <n v="2"/>
    <n v="1"/>
    <m/>
    <m/>
    <x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x v="2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x v="0"/>
    <n v="0"/>
    <n v="1"/>
    <m/>
    <m/>
    <x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x v="2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x v="0"/>
    <n v="0"/>
    <n v="1"/>
    <m/>
    <m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x v="2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x v="0"/>
    <n v="2"/>
    <n v="1"/>
    <m/>
    <m/>
    <x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x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x v="3"/>
    <n v="0"/>
    <n v="1"/>
    <m/>
    <m/>
    <x v="1"/>
  </r>
  <r>
    <n v="36"/>
    <x v="1"/>
    <s v="Non-Travel"/>
    <n v="635"/>
    <s v="Sales"/>
    <n v="10"/>
    <n v="4"/>
    <s v="Medical"/>
    <n v="1"/>
    <n v="592"/>
    <n v="2"/>
    <s v="Male"/>
    <n v="32"/>
    <n v="3"/>
    <x v="2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x v="10"/>
    <n v="7"/>
    <n v="1"/>
    <m/>
    <m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x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x v="1"/>
    <n v="2"/>
    <n v="1"/>
    <m/>
    <m/>
    <x v="1"/>
  </r>
  <r>
    <n v="48"/>
    <x v="1"/>
    <s v="Travel_Rarely"/>
    <n v="163"/>
    <s v="Sales"/>
    <n v="2"/>
    <n v="5"/>
    <s v="Marketing"/>
    <n v="1"/>
    <n v="595"/>
    <n v="2"/>
    <s v="Female"/>
    <n v="37"/>
    <n v="3"/>
    <x v="0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x v="7"/>
    <n v="7"/>
    <n v="1"/>
    <m/>
    <m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x v="3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x v="4"/>
    <n v="7"/>
    <n v="1"/>
    <m/>
    <m/>
    <x v="0"/>
  </r>
  <r>
    <n v="41"/>
    <x v="1"/>
    <s v="Non-Travel"/>
    <n v="267"/>
    <s v="Sales"/>
    <n v="10"/>
    <n v="2"/>
    <s v="Life Sciences"/>
    <n v="1"/>
    <n v="599"/>
    <n v="4"/>
    <s v="Male"/>
    <n v="56"/>
    <n v="3"/>
    <x v="0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x v="1"/>
    <n v="10"/>
    <n v="1"/>
    <m/>
    <m/>
    <x v="4"/>
  </r>
  <r>
    <n v="35"/>
    <x v="1"/>
    <s v="Travel_Rarely"/>
    <n v="619"/>
    <s v="Sales"/>
    <n v="1"/>
    <n v="3"/>
    <s v="Marketing"/>
    <n v="1"/>
    <n v="600"/>
    <n v="2"/>
    <s v="Male"/>
    <n v="85"/>
    <n v="3"/>
    <x v="0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x v="7"/>
    <n v="9"/>
    <n v="1"/>
    <m/>
    <m/>
    <x v="4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x v="3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x v="8"/>
    <n v="13"/>
    <n v="1"/>
    <m/>
    <m/>
    <x v="5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x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x v="0"/>
    <n v="7"/>
    <n v="1"/>
    <m/>
    <m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x v="0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x v="0"/>
    <n v="5"/>
    <n v="1"/>
    <m/>
    <m/>
    <x v="0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x v="2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x v="8"/>
    <n v="8"/>
    <n v="1"/>
    <m/>
    <m/>
    <x v="0"/>
  </r>
  <r>
    <n v="45"/>
    <x v="1"/>
    <s v="Travel_Rarely"/>
    <n v="561"/>
    <s v="Sales"/>
    <n v="2"/>
    <n v="3"/>
    <s v="Other"/>
    <n v="1"/>
    <n v="606"/>
    <n v="4"/>
    <s v="Male"/>
    <n v="61"/>
    <n v="3"/>
    <x v="0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x v="2"/>
    <n v="7"/>
    <n v="1"/>
    <m/>
    <m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x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x v="1"/>
    <n v="0"/>
    <n v="1"/>
    <m/>
    <m/>
    <x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x v="0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x v="1"/>
    <n v="2"/>
    <n v="1"/>
    <m/>
    <m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x v="3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x v="0"/>
    <n v="5"/>
    <n v="1"/>
    <m/>
    <m/>
    <x v="0"/>
  </r>
  <r>
    <n v="31"/>
    <x v="1"/>
    <s v="Travel_Rarely"/>
    <n v="688"/>
    <s v="Sales"/>
    <n v="7"/>
    <n v="3"/>
    <s v="Life Sciences"/>
    <n v="1"/>
    <n v="613"/>
    <n v="3"/>
    <s v="Male"/>
    <n v="44"/>
    <n v="2"/>
    <x v="2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x v="0"/>
    <n v="1"/>
    <n v="1"/>
    <m/>
    <m/>
    <x v="2"/>
  </r>
  <r>
    <n v="18"/>
    <x v="0"/>
    <s v="Travel_Frequently"/>
    <n v="1306"/>
    <s v="Sales"/>
    <n v="5"/>
    <n v="3"/>
    <s v="Marketing"/>
    <n v="1"/>
    <n v="614"/>
    <n v="2"/>
    <s v="Male"/>
    <n v="69"/>
    <n v="3"/>
    <x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x v="0"/>
    <n v="0"/>
    <n v="1"/>
    <m/>
    <m/>
    <x v="1"/>
  </r>
  <r>
    <n v="40"/>
    <x v="1"/>
    <s v="Non-Travel"/>
    <n v="1094"/>
    <s v="Sales"/>
    <n v="28"/>
    <n v="3"/>
    <s v="Other"/>
    <n v="1"/>
    <n v="615"/>
    <n v="3"/>
    <s v="Male"/>
    <n v="58"/>
    <n v="1"/>
    <x v="2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x v="0"/>
    <n v="1"/>
    <n v="1"/>
    <m/>
    <m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x v="0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x v="0"/>
    <n v="7"/>
    <n v="1"/>
    <m/>
    <m/>
    <x v="0"/>
  </r>
  <r>
    <n v="26"/>
    <x v="1"/>
    <s v="Travel_Rarely"/>
    <n v="775"/>
    <s v="Sales"/>
    <n v="29"/>
    <n v="2"/>
    <s v="Medical"/>
    <n v="1"/>
    <n v="618"/>
    <n v="1"/>
    <s v="Male"/>
    <n v="45"/>
    <n v="3"/>
    <x v="0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x v="0"/>
    <n v="0"/>
    <n v="1"/>
    <m/>
    <m/>
    <x v="1"/>
  </r>
  <r>
    <n v="35"/>
    <x v="1"/>
    <s v="Travel_Rarely"/>
    <n v="195"/>
    <s v="Sales"/>
    <n v="1"/>
    <n v="3"/>
    <s v="Medical"/>
    <n v="1"/>
    <n v="620"/>
    <n v="1"/>
    <s v="Female"/>
    <n v="80"/>
    <n v="3"/>
    <x v="0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x v="0"/>
    <n v="3"/>
    <n v="1"/>
    <m/>
    <m/>
    <x v="2"/>
  </r>
  <r>
    <n v="34"/>
    <x v="1"/>
    <s v="Travel_Rarely"/>
    <n v="258"/>
    <s v="Sales"/>
    <n v="21"/>
    <n v="4"/>
    <s v="Life Sciences"/>
    <n v="1"/>
    <n v="621"/>
    <n v="4"/>
    <s v="Male"/>
    <n v="74"/>
    <n v="4"/>
    <x v="0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x v="8"/>
    <n v="7"/>
    <n v="1"/>
    <m/>
    <m/>
    <x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x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x v="0"/>
    <n v="0"/>
    <n v="1"/>
    <m/>
    <m/>
    <x v="1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x v="2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x v="1"/>
    <n v="2"/>
    <n v="1"/>
    <m/>
    <m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x v="2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x v="1"/>
    <n v="2"/>
    <n v="1"/>
    <m/>
    <m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x v="3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x v="14"/>
    <n v="8"/>
    <n v="1"/>
    <m/>
    <m/>
    <x v="5"/>
  </r>
  <r>
    <n v="37"/>
    <x v="1"/>
    <s v="Non-Travel"/>
    <n v="142"/>
    <s v="Sales"/>
    <n v="9"/>
    <n v="4"/>
    <s v="Medical"/>
    <n v="1"/>
    <n v="626"/>
    <n v="1"/>
    <s v="Male"/>
    <n v="69"/>
    <n v="3"/>
    <x v="2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x v="4"/>
    <n v="7"/>
    <n v="1"/>
    <m/>
    <m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x v="0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x v="7"/>
    <n v="9"/>
    <n v="1"/>
    <m/>
    <m/>
    <x v="0"/>
  </r>
  <r>
    <n v="32"/>
    <x v="0"/>
    <s v="Non-Travel"/>
    <n v="1474"/>
    <s v="Sales"/>
    <n v="11"/>
    <n v="4"/>
    <s v="Other"/>
    <n v="1"/>
    <n v="631"/>
    <n v="4"/>
    <s v="Male"/>
    <n v="60"/>
    <n v="4"/>
    <x v="0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x v="1"/>
    <n v="2"/>
    <n v="1"/>
    <m/>
    <m/>
    <x v="2"/>
  </r>
  <r>
    <n v="24"/>
    <x v="1"/>
    <s v="Travel_Frequently"/>
    <n v="535"/>
    <s v="Sales"/>
    <n v="24"/>
    <n v="3"/>
    <s v="Medical"/>
    <n v="1"/>
    <n v="632"/>
    <n v="4"/>
    <s v="Male"/>
    <n v="38"/>
    <n v="3"/>
    <x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x v="3"/>
    <n v="1"/>
    <n v="1"/>
    <m/>
    <m/>
    <x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x v="0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x v="0"/>
    <n v="0"/>
    <n v="1"/>
    <m/>
    <m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x v="0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x v="5"/>
    <n v="3"/>
    <n v="1"/>
    <m/>
    <m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x v="4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x v="0"/>
    <n v="9"/>
    <n v="1"/>
    <m/>
    <m/>
    <x v="3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x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x v="1"/>
    <n v="4"/>
    <n v="1"/>
    <m/>
    <m/>
    <x v="0"/>
  </r>
  <r>
    <n v="26"/>
    <x v="1"/>
    <s v="Travel_Rarely"/>
    <n v="703"/>
    <s v="Sales"/>
    <n v="28"/>
    <n v="2"/>
    <s v="Marketing"/>
    <n v="1"/>
    <n v="641"/>
    <n v="1"/>
    <s v="Male"/>
    <n v="66"/>
    <n v="3"/>
    <x v="0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x v="1"/>
    <n v="4"/>
    <n v="1"/>
    <m/>
    <m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x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x v="0"/>
    <n v="0"/>
    <n v="1"/>
    <m/>
    <m/>
    <x v="1"/>
  </r>
  <r>
    <n v="50"/>
    <x v="1"/>
    <s v="Travel_Frequently"/>
    <n v="1246"/>
    <s v="Human Resources"/>
    <n v="3"/>
    <n v="3"/>
    <s v="Medical"/>
    <n v="1"/>
    <n v="644"/>
    <n v="1"/>
    <s v="Male"/>
    <n v="99"/>
    <n v="3"/>
    <x v="4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x v="13"/>
    <n v="7"/>
    <n v="1"/>
    <m/>
    <m/>
    <x v="3"/>
  </r>
  <r>
    <n v="25"/>
    <x v="1"/>
    <s v="Travel_Rarely"/>
    <n v="622"/>
    <s v="Sales"/>
    <n v="13"/>
    <n v="1"/>
    <s v="Medical"/>
    <n v="1"/>
    <n v="645"/>
    <n v="2"/>
    <s v="Male"/>
    <n v="40"/>
    <n v="3"/>
    <x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x v="0"/>
    <n v="6"/>
    <n v="1"/>
    <m/>
    <m/>
    <x v="0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x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x v="1"/>
    <n v="2"/>
    <n v="1"/>
    <m/>
    <m/>
    <x v="0"/>
  </r>
  <r>
    <n v="30"/>
    <x v="0"/>
    <s v="Travel_Frequently"/>
    <n v="448"/>
    <s v="Sales"/>
    <n v="12"/>
    <n v="4"/>
    <s v="Life Sciences"/>
    <n v="1"/>
    <n v="648"/>
    <n v="2"/>
    <s v="Male"/>
    <n v="74"/>
    <n v="2"/>
    <x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x v="0"/>
    <n v="0"/>
    <n v="1"/>
    <m/>
    <m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x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x v="1"/>
    <n v="3"/>
    <n v="1"/>
    <m/>
    <m/>
    <x v="0"/>
  </r>
  <r>
    <n v="31"/>
    <x v="0"/>
    <s v="Travel_Rarely"/>
    <n v="1365"/>
    <s v="Sales"/>
    <n v="13"/>
    <n v="4"/>
    <s v="Medical"/>
    <n v="1"/>
    <n v="650"/>
    <n v="2"/>
    <s v="Male"/>
    <n v="46"/>
    <n v="3"/>
    <x v="0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x v="1"/>
    <n v="2"/>
    <n v="1"/>
    <m/>
    <m/>
    <x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x v="0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x v="0"/>
    <n v="2"/>
    <n v="1"/>
    <m/>
    <m/>
    <x v="2"/>
  </r>
  <r>
    <n v="31"/>
    <x v="1"/>
    <s v="Travel_Rarely"/>
    <n v="525"/>
    <s v="Sales"/>
    <n v="6"/>
    <n v="4"/>
    <s v="Medical"/>
    <n v="1"/>
    <n v="653"/>
    <n v="1"/>
    <s v="Male"/>
    <n v="66"/>
    <n v="4"/>
    <x v="0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x v="8"/>
    <n v="7"/>
    <n v="1"/>
    <m/>
    <m/>
    <x v="0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x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x v="0"/>
    <n v="3"/>
    <n v="1"/>
    <m/>
    <m/>
    <x v="2"/>
  </r>
  <r>
    <n v="37"/>
    <x v="1"/>
    <s v="Travel_Rarely"/>
    <n v="558"/>
    <s v="Sales"/>
    <n v="2"/>
    <n v="3"/>
    <s v="Marketing"/>
    <n v="1"/>
    <n v="656"/>
    <n v="4"/>
    <s v="Male"/>
    <n v="75"/>
    <n v="3"/>
    <x v="0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x v="1"/>
    <n v="0"/>
    <n v="1"/>
    <m/>
    <m/>
    <x v="2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x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x v="0"/>
    <n v="0"/>
    <n v="1"/>
    <m/>
    <m/>
    <x v="1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x v="0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x v="3"/>
    <n v="2"/>
    <n v="1"/>
    <m/>
    <m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x v="3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x v="0"/>
    <n v="0"/>
    <n v="1"/>
    <m/>
    <m/>
    <x v="1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x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x v="0"/>
    <n v="0"/>
    <n v="1"/>
    <m/>
    <m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x v="0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x v="5"/>
    <n v="7"/>
    <n v="1"/>
    <m/>
    <m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x v="3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x v="0"/>
    <n v="2"/>
    <n v="1"/>
    <m/>
    <m/>
    <x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x v="0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x v="0"/>
    <n v="2"/>
    <n v="1"/>
    <m/>
    <m/>
    <x v="1"/>
  </r>
  <r>
    <n v="34"/>
    <x v="1"/>
    <s v="Travel_Rarely"/>
    <n v="204"/>
    <s v="Sales"/>
    <n v="14"/>
    <n v="3"/>
    <s v="Technical Degree"/>
    <n v="1"/>
    <n v="666"/>
    <n v="3"/>
    <s v="Female"/>
    <n v="31"/>
    <n v="3"/>
    <x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x v="0"/>
    <n v="6"/>
    <n v="1"/>
    <m/>
    <m/>
    <x v="0"/>
  </r>
  <r>
    <n v="27"/>
    <x v="0"/>
    <s v="Travel_Rarely"/>
    <n v="1420"/>
    <s v="Sales"/>
    <n v="2"/>
    <n v="1"/>
    <s v="Marketing"/>
    <n v="1"/>
    <n v="667"/>
    <n v="3"/>
    <s v="Male"/>
    <n v="85"/>
    <n v="3"/>
    <x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x v="0"/>
    <n v="2"/>
    <n v="1"/>
    <m/>
    <m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x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x v="1"/>
    <n v="2"/>
    <n v="1"/>
    <m/>
    <m/>
    <x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x v="4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x v="0"/>
    <n v="1"/>
    <n v="1"/>
    <m/>
    <m/>
    <x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x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x v="3"/>
    <n v="2"/>
    <n v="1"/>
    <m/>
    <m/>
    <x v="1"/>
  </r>
  <r>
    <n v="33"/>
    <x v="1"/>
    <s v="Travel_Rarely"/>
    <n v="1216"/>
    <s v="Sales"/>
    <n v="8"/>
    <n v="4"/>
    <s v="Marketing"/>
    <n v="1"/>
    <n v="677"/>
    <n v="3"/>
    <s v="Male"/>
    <n v="39"/>
    <n v="3"/>
    <x v="0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x v="1"/>
    <n v="2"/>
    <n v="1"/>
    <m/>
    <m/>
    <x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x v="0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x v="0"/>
    <n v="5"/>
    <n v="1"/>
    <m/>
    <m/>
    <x v="0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x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x v="0"/>
    <n v="0"/>
    <n v="1"/>
    <m/>
    <m/>
    <x v="1"/>
  </r>
  <r>
    <n v="53"/>
    <x v="1"/>
    <s v="Travel_Rarely"/>
    <n v="238"/>
    <s v="Sales"/>
    <n v="1"/>
    <n v="1"/>
    <s v="Medical"/>
    <n v="1"/>
    <n v="682"/>
    <n v="4"/>
    <s v="Female"/>
    <n v="34"/>
    <n v="3"/>
    <x v="0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x v="6"/>
    <n v="10"/>
    <n v="1"/>
    <m/>
    <m/>
    <x v="4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x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x v="6"/>
    <n v="8"/>
    <n v="1"/>
    <m/>
    <m/>
    <x v="0"/>
  </r>
  <r>
    <n v="45"/>
    <x v="0"/>
    <s v="Travel_Frequently"/>
    <n v="306"/>
    <s v="Sales"/>
    <n v="26"/>
    <n v="4"/>
    <s v="Life Sciences"/>
    <n v="1"/>
    <n v="684"/>
    <n v="1"/>
    <s v="Female"/>
    <n v="100"/>
    <n v="3"/>
    <x v="0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x v="0"/>
    <n v="0"/>
    <n v="1"/>
    <m/>
    <m/>
    <x v="1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x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x v="0"/>
    <n v="2"/>
    <n v="1"/>
    <m/>
    <m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x v="2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x v="4"/>
    <n v="8"/>
    <n v="1"/>
    <m/>
    <m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x v="0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x v="1"/>
    <n v="2"/>
    <n v="1"/>
    <m/>
    <m/>
    <x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x v="0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x v="14"/>
    <n v="8"/>
    <n v="1"/>
    <m/>
    <m/>
    <x v="5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x v="0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x v="5"/>
    <n v="7"/>
    <n v="1"/>
    <m/>
    <m/>
    <x v="4"/>
  </r>
  <r>
    <n v="54"/>
    <x v="1"/>
    <s v="Travel_Rarely"/>
    <n v="397"/>
    <s v="Human Resources"/>
    <n v="19"/>
    <n v="4"/>
    <s v="Medical"/>
    <n v="1"/>
    <n v="698"/>
    <n v="3"/>
    <s v="Male"/>
    <n v="88"/>
    <n v="3"/>
    <x v="2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x v="4"/>
    <n v="1"/>
    <n v="1"/>
    <m/>
    <m/>
    <x v="0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x v="0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x v="0"/>
    <n v="2"/>
    <n v="1"/>
    <m/>
    <m/>
    <x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x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x v="1"/>
    <n v="1"/>
    <n v="1"/>
    <m/>
    <m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x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x v="1"/>
    <n v="1"/>
    <n v="1"/>
    <m/>
    <m/>
    <x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x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x v="10"/>
    <n v="7"/>
    <n v="1"/>
    <m/>
    <m/>
    <x v="0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x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x v="0"/>
    <n v="0"/>
    <n v="1"/>
    <m/>
    <m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x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x v="0"/>
    <n v="2"/>
    <n v="1"/>
    <m/>
    <m/>
    <x v="2"/>
  </r>
  <r>
    <n v="25"/>
    <x v="1"/>
    <s v="Travel_Rarely"/>
    <n v="810"/>
    <s v="Sales"/>
    <n v="8"/>
    <n v="3"/>
    <s v="Life Sciences"/>
    <n v="1"/>
    <n v="707"/>
    <n v="4"/>
    <s v="Male"/>
    <n v="57"/>
    <n v="4"/>
    <x v="0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x v="1"/>
    <n v="2"/>
    <n v="1"/>
    <m/>
    <m/>
    <x v="2"/>
  </r>
  <r>
    <n v="38"/>
    <x v="1"/>
    <s v="Travel_Rarely"/>
    <n v="243"/>
    <s v="Sales"/>
    <n v="7"/>
    <n v="4"/>
    <s v="Marketing"/>
    <n v="1"/>
    <n v="709"/>
    <n v="4"/>
    <s v="Female"/>
    <n v="46"/>
    <n v="2"/>
    <x v="0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x v="0"/>
    <n v="5"/>
    <n v="1"/>
    <m/>
    <m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x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x v="3"/>
    <n v="8"/>
    <n v="1"/>
    <m/>
    <m/>
    <x v="0"/>
  </r>
  <r>
    <n v="48"/>
    <x v="1"/>
    <s v="Travel_Rarely"/>
    <n v="817"/>
    <s v="Sales"/>
    <n v="2"/>
    <n v="1"/>
    <s v="Marketing"/>
    <n v="1"/>
    <n v="712"/>
    <n v="2"/>
    <s v="Male"/>
    <n v="56"/>
    <n v="4"/>
    <x v="0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x v="3"/>
    <n v="2"/>
    <n v="1"/>
    <m/>
    <m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x v="0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x v="0"/>
    <n v="4"/>
    <n v="1"/>
    <m/>
    <m/>
    <x v="0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x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x v="0"/>
    <n v="0"/>
    <n v="1"/>
    <m/>
    <m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x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x v="2"/>
    <n v="8"/>
    <n v="1"/>
    <m/>
    <m/>
    <x v="5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x v="2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x v="4"/>
    <n v="7"/>
    <n v="1"/>
    <m/>
    <m/>
    <x v="0"/>
  </r>
  <r>
    <n v="24"/>
    <x v="0"/>
    <s v="Travel_Rarely"/>
    <n v="693"/>
    <s v="Sales"/>
    <n v="3"/>
    <n v="2"/>
    <s v="Life Sciences"/>
    <n v="1"/>
    <n v="720"/>
    <n v="1"/>
    <s v="Female"/>
    <n v="65"/>
    <n v="3"/>
    <x v="0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x v="3"/>
    <n v="0"/>
    <n v="1"/>
    <m/>
    <m/>
    <x v="1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x v="0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x v="14"/>
    <n v="10"/>
    <n v="1"/>
    <m/>
    <m/>
    <x v="5"/>
  </r>
  <r>
    <n v="32"/>
    <x v="1"/>
    <s v="Travel_Rarely"/>
    <n v="929"/>
    <s v="Sales"/>
    <n v="10"/>
    <n v="3"/>
    <s v="Marketing"/>
    <n v="1"/>
    <n v="722"/>
    <n v="4"/>
    <s v="Male"/>
    <n v="55"/>
    <n v="3"/>
    <x v="0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x v="0"/>
    <n v="8"/>
    <n v="1"/>
    <m/>
    <m/>
    <x v="0"/>
  </r>
  <r>
    <n v="50"/>
    <x v="0"/>
    <s v="Travel_Frequently"/>
    <n v="562"/>
    <s v="Sales"/>
    <n v="8"/>
    <n v="2"/>
    <s v="Technical Degree"/>
    <n v="1"/>
    <n v="723"/>
    <n v="2"/>
    <s v="Male"/>
    <n v="50"/>
    <n v="3"/>
    <x v="0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x v="1"/>
    <n v="3"/>
    <n v="1"/>
    <m/>
    <m/>
    <x v="2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x v="0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x v="1"/>
    <n v="8"/>
    <n v="1"/>
    <m/>
    <m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x v="2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x v="0"/>
    <n v="7"/>
    <n v="1"/>
    <m/>
    <m/>
    <x v="0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x v="2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x v="4"/>
    <n v="7"/>
    <n v="1"/>
    <m/>
    <m/>
    <x v="0"/>
  </r>
  <r>
    <n v="47"/>
    <x v="1"/>
    <s v="Travel_Rarely"/>
    <n v="703"/>
    <s v="Sales"/>
    <n v="14"/>
    <n v="4"/>
    <s v="Marketing"/>
    <n v="1"/>
    <n v="728"/>
    <n v="4"/>
    <s v="Male"/>
    <n v="42"/>
    <n v="3"/>
    <x v="0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x v="1"/>
    <n v="7"/>
    <n v="1"/>
    <m/>
    <m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x v="2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x v="1"/>
    <n v="12"/>
    <n v="1"/>
    <m/>
    <m/>
    <x v="5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x v="3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x v="1"/>
    <n v="3"/>
    <n v="1"/>
    <m/>
    <m/>
    <x v="2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x v="4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x v="12"/>
    <n v="6"/>
    <n v="1"/>
    <m/>
    <m/>
    <x v="3"/>
  </r>
  <r>
    <n v="60"/>
    <x v="1"/>
    <s v="Travel_Rarely"/>
    <n v="1179"/>
    <s v="Sales"/>
    <n v="16"/>
    <n v="4"/>
    <s v="Marketing"/>
    <n v="1"/>
    <n v="732"/>
    <n v="1"/>
    <s v="Male"/>
    <n v="84"/>
    <n v="3"/>
    <x v="0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x v="3"/>
    <n v="2"/>
    <n v="1"/>
    <m/>
    <m/>
    <x v="1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x v="2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x v="1"/>
    <n v="7"/>
    <n v="1"/>
    <m/>
    <m/>
    <x v="0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x v="4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x v="3"/>
    <n v="10"/>
    <n v="1"/>
    <m/>
    <m/>
    <x v="3"/>
  </r>
  <r>
    <n v="50"/>
    <x v="1"/>
    <s v="Travel_Rarely"/>
    <n v="316"/>
    <s v="Sales"/>
    <n v="8"/>
    <n v="4"/>
    <s v="Marketing"/>
    <n v="1"/>
    <n v="738"/>
    <n v="4"/>
    <s v="Male"/>
    <n v="54"/>
    <n v="3"/>
    <x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x v="3"/>
    <n v="2"/>
    <n v="1"/>
    <m/>
    <m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x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x v="2"/>
    <n v="7"/>
    <n v="1"/>
    <m/>
    <m/>
    <x v="0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x v="2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x v="0"/>
    <n v="5"/>
    <n v="1"/>
    <m/>
    <m/>
    <x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x v="2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x v="0"/>
    <n v="0"/>
    <n v="1"/>
    <m/>
    <m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x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x v="1"/>
    <n v="4"/>
    <n v="1"/>
    <m/>
    <m/>
    <x v="2"/>
  </r>
  <r>
    <n v="47"/>
    <x v="1"/>
    <s v="Travel_Frequently"/>
    <n v="217"/>
    <s v="Sales"/>
    <n v="3"/>
    <n v="3"/>
    <s v="Medical"/>
    <n v="1"/>
    <n v="746"/>
    <n v="4"/>
    <s v="Female"/>
    <n v="49"/>
    <n v="3"/>
    <x v="3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x v="14"/>
    <n v="13"/>
    <n v="1"/>
    <m/>
    <m/>
    <x v="3"/>
  </r>
  <r>
    <n v="30"/>
    <x v="1"/>
    <s v="Travel_Rarely"/>
    <n v="501"/>
    <s v="Sales"/>
    <n v="27"/>
    <n v="5"/>
    <s v="Marketing"/>
    <n v="1"/>
    <n v="747"/>
    <n v="3"/>
    <s v="Male"/>
    <n v="99"/>
    <n v="3"/>
    <x v="0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x v="4"/>
    <n v="7"/>
    <n v="1"/>
    <m/>
    <m/>
    <x v="0"/>
  </r>
  <r>
    <n v="29"/>
    <x v="1"/>
    <s v="Travel_Rarely"/>
    <n v="1396"/>
    <s v="Sales"/>
    <n v="10"/>
    <n v="3"/>
    <s v="Life Sciences"/>
    <n v="1"/>
    <n v="749"/>
    <n v="3"/>
    <s v="Male"/>
    <n v="99"/>
    <n v="3"/>
    <x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x v="0"/>
    <n v="0"/>
    <n v="1"/>
    <m/>
    <m/>
    <x v="1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x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x v="3"/>
    <n v="2"/>
    <n v="1"/>
    <m/>
    <m/>
    <x v="1"/>
  </r>
  <r>
    <n v="43"/>
    <x v="1"/>
    <s v="Travel_Frequently"/>
    <n v="775"/>
    <s v="Sales"/>
    <n v="15"/>
    <n v="3"/>
    <s v="Life Sciences"/>
    <n v="1"/>
    <n v="754"/>
    <n v="4"/>
    <s v="Male"/>
    <n v="47"/>
    <n v="2"/>
    <x v="0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x v="3"/>
    <n v="2"/>
    <n v="1"/>
    <m/>
    <m/>
    <x v="1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x v="0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x v="5"/>
    <n v="3"/>
    <n v="1"/>
    <m/>
    <m/>
    <x v="2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x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x v="0"/>
    <n v="2"/>
    <n v="1"/>
    <m/>
    <m/>
    <x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x v="0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x v="2"/>
    <n v="6"/>
    <n v="1"/>
    <m/>
    <m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x v="3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x v="1"/>
    <n v="1"/>
    <n v="1"/>
    <m/>
    <m/>
    <x v="0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x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x v="3"/>
    <n v="3"/>
    <n v="1"/>
    <m/>
    <m/>
    <x v="2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x v="0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x v="0"/>
    <n v="7"/>
    <n v="1"/>
    <m/>
    <m/>
    <x v="0"/>
  </r>
  <r>
    <n v="29"/>
    <x v="1"/>
    <s v="Travel_Rarely"/>
    <n v="1090"/>
    <s v="Sales"/>
    <n v="10"/>
    <n v="3"/>
    <s v="Marketing"/>
    <n v="1"/>
    <n v="766"/>
    <n v="4"/>
    <s v="Male"/>
    <n v="83"/>
    <n v="3"/>
    <x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x v="3"/>
    <n v="2"/>
    <n v="1"/>
    <m/>
    <m/>
    <x v="1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x v="0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x v="3"/>
    <n v="2"/>
    <n v="1"/>
    <m/>
    <m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x v="0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x v="0"/>
    <n v="0"/>
    <n v="1"/>
    <m/>
    <m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x v="0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x v="5"/>
    <n v="7"/>
    <n v="1"/>
    <m/>
    <m/>
    <x v="0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x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x v="0"/>
    <n v="1"/>
    <n v="1"/>
    <m/>
    <m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x v="0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x v="0"/>
    <n v="0"/>
    <n v="1"/>
    <m/>
    <m/>
    <x v="1"/>
  </r>
  <r>
    <n v="52"/>
    <x v="1"/>
    <s v="Travel_Rarely"/>
    <n v="621"/>
    <s v="Sales"/>
    <n v="3"/>
    <n v="4"/>
    <s v="Marketing"/>
    <n v="1"/>
    <n v="776"/>
    <n v="3"/>
    <s v="Male"/>
    <n v="31"/>
    <n v="2"/>
    <x v="3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x v="1"/>
    <n v="16"/>
    <n v="1"/>
    <m/>
    <m/>
    <x v="3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x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x v="4"/>
    <n v="8"/>
    <n v="1"/>
    <m/>
    <m/>
    <x v="0"/>
  </r>
  <r>
    <n v="25"/>
    <x v="1"/>
    <s v="Travel_Rarely"/>
    <n v="883"/>
    <s v="Sales"/>
    <n v="26"/>
    <n v="1"/>
    <s v="Medical"/>
    <n v="1"/>
    <n v="781"/>
    <n v="3"/>
    <s v="Female"/>
    <n v="32"/>
    <n v="3"/>
    <x v="0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x v="1"/>
    <n v="4"/>
    <n v="1"/>
    <m/>
    <m/>
    <x v="0"/>
  </r>
  <r>
    <n v="45"/>
    <x v="1"/>
    <s v="Travel_Rarely"/>
    <n v="954"/>
    <s v="Sales"/>
    <n v="2"/>
    <n v="2"/>
    <s v="Technical Degree"/>
    <n v="1"/>
    <n v="783"/>
    <n v="2"/>
    <s v="Male"/>
    <n v="46"/>
    <n v="1"/>
    <x v="0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x v="2"/>
    <n v="1"/>
    <n v="1"/>
    <m/>
    <m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x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x v="0"/>
    <n v="2"/>
    <n v="1"/>
    <m/>
    <m/>
    <x v="1"/>
  </r>
  <r>
    <n v="47"/>
    <x v="0"/>
    <s v="Travel_Frequently"/>
    <n v="719"/>
    <s v="Sales"/>
    <n v="27"/>
    <n v="2"/>
    <s v="Life Sciences"/>
    <n v="1"/>
    <n v="785"/>
    <n v="2"/>
    <s v="Female"/>
    <n v="77"/>
    <n v="4"/>
    <x v="0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x v="1"/>
    <n v="3"/>
    <n v="1"/>
    <m/>
    <m/>
    <x v="2"/>
  </r>
  <r>
    <n v="34"/>
    <x v="1"/>
    <s v="Travel_Rarely"/>
    <n v="304"/>
    <s v="Sales"/>
    <n v="2"/>
    <n v="3"/>
    <s v="Other"/>
    <n v="1"/>
    <n v="786"/>
    <n v="4"/>
    <s v="Male"/>
    <n v="60"/>
    <n v="3"/>
    <x v="0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x v="1"/>
    <n v="4"/>
    <n v="1"/>
    <m/>
    <m/>
    <x v="0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x v="4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x v="1"/>
    <n v="4"/>
    <n v="1"/>
    <m/>
    <m/>
    <x v="2"/>
  </r>
  <r>
    <n v="36"/>
    <x v="1"/>
    <s v="Non-Travel"/>
    <n v="1434"/>
    <s v="Sales"/>
    <n v="8"/>
    <n v="4"/>
    <s v="Life Sciences"/>
    <n v="1"/>
    <n v="789"/>
    <n v="1"/>
    <s v="Male"/>
    <n v="76"/>
    <n v="2"/>
    <x v="2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x v="0"/>
    <n v="9"/>
    <n v="1"/>
    <m/>
    <m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x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x v="1"/>
    <n v="2"/>
    <n v="1"/>
    <m/>
    <m/>
    <x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x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x v="3"/>
    <n v="0"/>
    <n v="1"/>
    <m/>
    <m/>
    <x v="1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x v="0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x v="1"/>
    <n v="1"/>
    <n v="1"/>
    <m/>
    <m/>
    <x v="0"/>
  </r>
  <r>
    <n v="26"/>
    <x v="0"/>
    <s v="Travel_Rarely"/>
    <n v="1146"/>
    <s v="Sales"/>
    <n v="8"/>
    <n v="3"/>
    <s v="Technical Degree"/>
    <n v="1"/>
    <n v="796"/>
    <n v="4"/>
    <s v="Male"/>
    <n v="38"/>
    <n v="2"/>
    <x v="0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x v="1"/>
    <n v="2"/>
    <n v="1"/>
    <m/>
    <m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x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x v="1"/>
    <n v="3"/>
    <n v="1"/>
    <m/>
    <m/>
    <x v="2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x v="0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x v="1"/>
    <n v="4"/>
    <n v="1"/>
    <m/>
    <m/>
    <x v="2"/>
  </r>
  <r>
    <n v="27"/>
    <x v="1"/>
    <s v="Travel_Frequently"/>
    <n v="829"/>
    <s v="Sales"/>
    <n v="8"/>
    <n v="1"/>
    <s v="Marketing"/>
    <n v="1"/>
    <n v="800"/>
    <n v="3"/>
    <s v="Male"/>
    <n v="84"/>
    <n v="3"/>
    <x v="0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x v="1"/>
    <n v="1"/>
    <n v="1"/>
    <m/>
    <m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x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x v="5"/>
    <n v="3"/>
    <n v="1"/>
    <m/>
    <m/>
    <x v="2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x v="0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x v="5"/>
    <n v="12"/>
    <n v="1"/>
    <m/>
    <m/>
    <x v="4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x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x v="1"/>
    <n v="3"/>
    <n v="1"/>
    <m/>
    <m/>
    <x v="0"/>
  </r>
  <r>
    <n v="35"/>
    <x v="1"/>
    <s v="Travel_Rarely"/>
    <n v="384"/>
    <s v="Sales"/>
    <n v="8"/>
    <n v="4"/>
    <s v="Life Sciences"/>
    <n v="1"/>
    <n v="805"/>
    <n v="1"/>
    <s v="Female"/>
    <n v="72"/>
    <n v="3"/>
    <x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x v="0"/>
    <n v="2"/>
    <n v="1"/>
    <m/>
    <m/>
    <x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x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x v="0"/>
    <n v="2"/>
    <n v="1"/>
    <m/>
    <m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x v="0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x v="2"/>
    <n v="7"/>
    <n v="1"/>
    <m/>
    <m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x v="0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x v="1"/>
    <n v="2"/>
    <n v="1"/>
    <m/>
    <m/>
    <x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x v="4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x v="15"/>
    <n v="9"/>
    <n v="1"/>
    <m/>
    <m/>
    <x v="3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x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x v="0"/>
    <n v="0"/>
    <n v="1"/>
    <m/>
    <m/>
    <x v="1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x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x v="0"/>
    <n v="0"/>
    <n v="1"/>
    <m/>
    <m/>
    <x v="1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x v="0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x v="1"/>
    <n v="4"/>
    <n v="1"/>
    <m/>
    <m/>
    <x v="2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x v="3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x v="0"/>
    <n v="3"/>
    <n v="1"/>
    <m/>
    <m/>
    <x v="2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x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x v="0"/>
    <n v="0"/>
    <n v="1"/>
    <m/>
    <m/>
    <x v="1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x v="2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x v="2"/>
    <n v="7"/>
    <n v="1"/>
    <m/>
    <m/>
    <x v="4"/>
  </r>
  <r>
    <n v="33"/>
    <x v="0"/>
    <s v="Travel_Rarely"/>
    <n v="118"/>
    <s v="Sales"/>
    <n v="16"/>
    <n v="3"/>
    <s v="Marketing"/>
    <n v="1"/>
    <n v="819"/>
    <n v="1"/>
    <s v="Female"/>
    <n v="69"/>
    <n v="3"/>
    <x v="0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x v="0"/>
    <n v="2"/>
    <n v="1"/>
    <m/>
    <m/>
    <x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x v="3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x v="2"/>
    <n v="0"/>
    <n v="1"/>
    <m/>
    <m/>
    <x v="3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x v="0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x v="0"/>
    <n v="5"/>
    <n v="1"/>
    <m/>
    <m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x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x v="0"/>
    <n v="7"/>
    <n v="1"/>
    <m/>
    <m/>
    <x v="0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x v="4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x v="11"/>
    <n v="8"/>
    <n v="1"/>
    <m/>
    <m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x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x v="3"/>
    <n v="2"/>
    <n v="1"/>
    <m/>
    <m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x v="0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x v="0"/>
    <n v="2"/>
    <n v="1"/>
    <m/>
    <m/>
    <x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x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x v="3"/>
    <n v="1"/>
    <n v="1"/>
    <m/>
    <m/>
    <x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x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x v="0"/>
    <n v="4"/>
    <n v="1"/>
    <m/>
    <m/>
    <x v="2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x v="0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x v="7"/>
    <n v="8"/>
    <n v="1"/>
    <m/>
    <m/>
    <x v="4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x v="0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x v="0"/>
    <n v="0"/>
    <n v="1"/>
    <m/>
    <m/>
    <x v="1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x v="0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x v="0"/>
    <n v="0"/>
    <n v="1"/>
    <m/>
    <m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x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x v="0"/>
    <n v="0"/>
    <n v="1"/>
    <m/>
    <m/>
    <x v="1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x v="0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x v="4"/>
    <n v="8"/>
    <n v="1"/>
    <m/>
    <m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x v="0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x v="1"/>
    <n v="2"/>
    <n v="1"/>
    <m/>
    <m/>
    <x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x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x v="1"/>
    <n v="3"/>
    <n v="1"/>
    <m/>
    <m/>
    <x v="2"/>
  </r>
  <r>
    <n v="49"/>
    <x v="0"/>
    <s v="Travel_Rarely"/>
    <n v="1184"/>
    <s v="Sales"/>
    <n v="11"/>
    <n v="3"/>
    <s v="Marketing"/>
    <n v="1"/>
    <n v="840"/>
    <n v="3"/>
    <s v="Female"/>
    <n v="43"/>
    <n v="3"/>
    <x v="2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x v="4"/>
    <n v="7"/>
    <n v="1"/>
    <m/>
    <m/>
    <x v="0"/>
  </r>
  <r>
    <n v="55"/>
    <x v="0"/>
    <s v="Travel_Rarely"/>
    <n v="436"/>
    <s v="Sales"/>
    <n v="2"/>
    <n v="1"/>
    <s v="Medical"/>
    <n v="1"/>
    <n v="842"/>
    <n v="3"/>
    <s v="Male"/>
    <n v="37"/>
    <n v="3"/>
    <x v="0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x v="4"/>
    <n v="3"/>
    <n v="1"/>
    <m/>
    <m/>
    <x v="0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x v="3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x v="1"/>
    <n v="0"/>
    <n v="1"/>
    <m/>
    <m/>
    <x v="2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x v="2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x v="0"/>
    <n v="8"/>
    <n v="1"/>
    <m/>
    <m/>
    <x v="0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x v="2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x v="1"/>
    <n v="6"/>
    <n v="1"/>
    <m/>
    <m/>
    <x v="0"/>
  </r>
  <r>
    <n v="28"/>
    <x v="1"/>
    <s v="Travel_Rarely"/>
    <n v="760"/>
    <s v="Sales"/>
    <n v="2"/>
    <n v="4"/>
    <s v="Marketing"/>
    <n v="1"/>
    <n v="846"/>
    <n v="2"/>
    <s v="Female"/>
    <n v="81"/>
    <n v="3"/>
    <x v="0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x v="4"/>
    <n v="5"/>
    <n v="1"/>
    <m/>
    <m/>
    <x v="0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x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x v="0"/>
    <n v="2"/>
    <n v="1"/>
    <m/>
    <m/>
    <x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x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x v="1"/>
    <n v="7"/>
    <n v="1"/>
    <m/>
    <m/>
    <x v="0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x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x v="0"/>
    <n v="0"/>
    <n v="1"/>
    <m/>
    <m/>
    <x v="1"/>
  </r>
  <r>
    <n v="51"/>
    <x v="1"/>
    <s v="Travel_Rarely"/>
    <n v="1318"/>
    <s v="Sales"/>
    <n v="26"/>
    <n v="4"/>
    <s v="Marketing"/>
    <n v="1"/>
    <n v="851"/>
    <n v="1"/>
    <s v="Female"/>
    <n v="66"/>
    <n v="3"/>
    <x v="3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x v="5"/>
    <n v="17"/>
    <n v="1"/>
    <m/>
    <m/>
    <x v="5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x v="0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x v="3"/>
    <n v="3"/>
    <n v="1"/>
    <m/>
    <m/>
    <x v="2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x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x v="0"/>
    <n v="1"/>
    <n v="1"/>
    <m/>
    <m/>
    <x v="2"/>
  </r>
  <r>
    <n v="33"/>
    <x v="1"/>
    <s v="Travel_Rarely"/>
    <n v="586"/>
    <s v="Sales"/>
    <n v="1"/>
    <n v="3"/>
    <s v="Medical"/>
    <n v="1"/>
    <n v="855"/>
    <n v="1"/>
    <s v="Male"/>
    <n v="48"/>
    <n v="4"/>
    <x v="0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x v="0"/>
    <n v="8"/>
    <n v="1"/>
    <m/>
    <m/>
    <x v="0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x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x v="1"/>
    <n v="1"/>
    <n v="1"/>
    <m/>
    <m/>
    <x v="0"/>
  </r>
  <r>
    <n v="36"/>
    <x v="1"/>
    <s v="Travel_Rarely"/>
    <n v="928"/>
    <s v="Sales"/>
    <n v="1"/>
    <n v="2"/>
    <s v="Life Sciences"/>
    <n v="1"/>
    <n v="857"/>
    <n v="2"/>
    <s v="Male"/>
    <n v="56"/>
    <n v="3"/>
    <x v="0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x v="5"/>
    <n v="11"/>
    <n v="1"/>
    <m/>
    <m/>
    <x v="5"/>
  </r>
  <r>
    <n v="32"/>
    <x v="1"/>
    <s v="Travel_Rarely"/>
    <n v="117"/>
    <s v="Sales"/>
    <n v="13"/>
    <n v="4"/>
    <s v="Life Sciences"/>
    <n v="1"/>
    <n v="859"/>
    <n v="2"/>
    <s v="Male"/>
    <n v="73"/>
    <n v="3"/>
    <x v="0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x v="0"/>
    <n v="3"/>
    <n v="1"/>
    <m/>
    <m/>
    <x v="2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x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x v="0"/>
    <n v="3"/>
    <n v="1"/>
    <m/>
    <m/>
    <x v="2"/>
  </r>
  <r>
    <n v="53"/>
    <x v="1"/>
    <s v="Travel_Rarely"/>
    <n v="661"/>
    <s v="Sales"/>
    <n v="7"/>
    <n v="2"/>
    <s v="Marketing"/>
    <n v="1"/>
    <n v="862"/>
    <n v="1"/>
    <s v="Female"/>
    <n v="78"/>
    <n v="2"/>
    <x v="2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x v="0"/>
    <n v="4"/>
    <n v="1"/>
    <m/>
    <m/>
    <x v="2"/>
  </r>
  <r>
    <n v="45"/>
    <x v="1"/>
    <s v="Travel_Rarely"/>
    <n v="930"/>
    <s v="Sales"/>
    <n v="9"/>
    <n v="3"/>
    <s v="Marketing"/>
    <n v="1"/>
    <n v="864"/>
    <n v="4"/>
    <s v="Male"/>
    <n v="74"/>
    <n v="3"/>
    <x v="2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x v="0"/>
    <n v="2"/>
    <n v="1"/>
    <m/>
    <m/>
    <x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x v="0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x v="1"/>
    <n v="3"/>
    <n v="1"/>
    <m/>
    <m/>
    <x v="2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x v="3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x v="0"/>
    <n v="0"/>
    <n v="1"/>
    <m/>
    <m/>
    <x v="0"/>
  </r>
  <r>
    <n v="37"/>
    <x v="1"/>
    <s v="Travel_Rarely"/>
    <n v="342"/>
    <s v="Sales"/>
    <n v="16"/>
    <n v="4"/>
    <s v="Marketing"/>
    <n v="1"/>
    <n v="868"/>
    <n v="4"/>
    <s v="Male"/>
    <n v="66"/>
    <n v="2"/>
    <x v="0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x v="0"/>
    <n v="0"/>
    <n v="1"/>
    <m/>
    <m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x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x v="0"/>
    <n v="4"/>
    <n v="1"/>
    <m/>
    <m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x v="0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x v="3"/>
    <n v="2"/>
    <n v="1"/>
    <m/>
    <m/>
    <x v="1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x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x v="0"/>
    <n v="2"/>
    <n v="1"/>
    <m/>
    <m/>
    <x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x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x v="3"/>
    <n v="2"/>
    <n v="1"/>
    <m/>
    <m/>
    <x v="1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x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x v="0"/>
    <n v="3"/>
    <n v="1"/>
    <m/>
    <m/>
    <x v="2"/>
  </r>
  <r>
    <n v="25"/>
    <x v="1"/>
    <s v="Travel_Rarely"/>
    <n v="141"/>
    <s v="Sales"/>
    <n v="3"/>
    <n v="1"/>
    <s v="Other"/>
    <n v="1"/>
    <n v="879"/>
    <n v="3"/>
    <s v="Male"/>
    <n v="98"/>
    <n v="3"/>
    <x v="0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x v="0"/>
    <n v="3"/>
    <n v="1"/>
    <m/>
    <m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x v="2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x v="8"/>
    <n v="15"/>
    <n v="1"/>
    <m/>
    <m/>
    <x v="5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x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x v="4"/>
    <n v="8"/>
    <n v="1"/>
    <m/>
    <m/>
    <x v="0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x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x v="0"/>
    <n v="2"/>
    <n v="1"/>
    <m/>
    <m/>
    <x v="2"/>
  </r>
  <r>
    <n v="25"/>
    <x v="1"/>
    <s v="Travel_Rarely"/>
    <n v="583"/>
    <s v="Sales"/>
    <n v="4"/>
    <n v="1"/>
    <s v="Marketing"/>
    <n v="1"/>
    <n v="885"/>
    <n v="3"/>
    <s v="Male"/>
    <n v="87"/>
    <n v="2"/>
    <x v="0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x v="0"/>
    <n v="3"/>
    <n v="1"/>
    <m/>
    <m/>
    <x v="2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x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x v="0"/>
    <n v="2"/>
    <n v="1"/>
    <m/>
    <m/>
    <x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x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x v="2"/>
    <n v="4"/>
    <n v="1"/>
    <m/>
    <m/>
    <x v="2"/>
  </r>
  <r>
    <n v="32"/>
    <x v="1"/>
    <s v="Travel_Frequently"/>
    <n v="379"/>
    <s v="Sales"/>
    <n v="5"/>
    <n v="2"/>
    <s v="Life Sciences"/>
    <n v="1"/>
    <n v="889"/>
    <n v="2"/>
    <s v="Male"/>
    <n v="48"/>
    <n v="3"/>
    <x v="0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x v="8"/>
    <n v="3"/>
    <n v="1"/>
    <m/>
    <m/>
    <x v="0"/>
  </r>
  <r>
    <n v="38"/>
    <x v="1"/>
    <s v="Travel_Rarely"/>
    <n v="395"/>
    <s v="Sales"/>
    <n v="9"/>
    <n v="3"/>
    <s v="Marketing"/>
    <n v="1"/>
    <n v="893"/>
    <n v="2"/>
    <s v="Male"/>
    <n v="98"/>
    <n v="2"/>
    <x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x v="1"/>
    <n v="2"/>
    <n v="1"/>
    <m/>
    <m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x v="0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x v="1"/>
    <n v="3"/>
    <n v="1"/>
    <m/>
    <m/>
    <x v="2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x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x v="0"/>
    <n v="2"/>
    <n v="1"/>
    <m/>
    <m/>
    <x v="0"/>
  </r>
  <r>
    <n v="29"/>
    <x v="0"/>
    <s v="Travel_Rarely"/>
    <n v="341"/>
    <s v="Sales"/>
    <n v="1"/>
    <n v="3"/>
    <s v="Medical"/>
    <n v="1"/>
    <n v="896"/>
    <n v="2"/>
    <s v="Female"/>
    <n v="48"/>
    <n v="2"/>
    <x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x v="0"/>
    <n v="2"/>
    <n v="1"/>
    <m/>
    <m/>
    <x v="2"/>
  </r>
  <r>
    <n v="53"/>
    <x v="1"/>
    <s v="Travel_Rarely"/>
    <n v="868"/>
    <s v="Sales"/>
    <n v="8"/>
    <n v="3"/>
    <s v="Marketing"/>
    <n v="1"/>
    <n v="897"/>
    <n v="1"/>
    <s v="Male"/>
    <n v="73"/>
    <n v="3"/>
    <x v="3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x v="3"/>
    <n v="2"/>
    <n v="1"/>
    <m/>
    <m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x v="2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x v="5"/>
    <n v="8"/>
    <n v="1"/>
    <m/>
    <m/>
    <x v="4"/>
  </r>
  <r>
    <n v="37"/>
    <x v="1"/>
    <s v="Travel_Frequently"/>
    <n v="1231"/>
    <s v="Sales"/>
    <n v="21"/>
    <n v="2"/>
    <s v="Medical"/>
    <n v="1"/>
    <n v="900"/>
    <n v="3"/>
    <s v="Female"/>
    <n v="54"/>
    <n v="3"/>
    <x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x v="0"/>
    <n v="0"/>
    <n v="1"/>
    <m/>
    <m/>
    <x v="2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x v="3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x v="2"/>
    <n v="8"/>
    <n v="1"/>
    <m/>
    <m/>
    <x v="4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x v="0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x v="3"/>
    <n v="2"/>
    <n v="1"/>
    <m/>
    <m/>
    <x v="2"/>
  </r>
  <r>
    <n v="47"/>
    <x v="1"/>
    <s v="Travel_Rarely"/>
    <n v="249"/>
    <s v="Sales"/>
    <n v="2"/>
    <n v="2"/>
    <s v="Marketing"/>
    <n v="1"/>
    <n v="903"/>
    <n v="3"/>
    <s v="Female"/>
    <n v="35"/>
    <n v="3"/>
    <x v="0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x v="4"/>
    <n v="7"/>
    <n v="1"/>
    <m/>
    <m/>
    <x v="0"/>
  </r>
  <r>
    <n v="37"/>
    <x v="1"/>
    <s v="Non-Travel"/>
    <n v="1252"/>
    <s v="Sales"/>
    <n v="19"/>
    <n v="2"/>
    <s v="Medical"/>
    <n v="1"/>
    <n v="904"/>
    <n v="1"/>
    <s v="Male"/>
    <n v="32"/>
    <n v="3"/>
    <x v="2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x v="0"/>
    <n v="9"/>
    <n v="1"/>
    <m/>
    <m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x v="3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x v="15"/>
    <n v="7"/>
    <n v="1"/>
    <m/>
    <m/>
    <x v="3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x v="0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x v="0"/>
    <n v="4"/>
    <n v="1"/>
    <m/>
    <m/>
    <x v="2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x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x v="0"/>
    <n v="3"/>
    <n v="1"/>
    <m/>
    <m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x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x v="0"/>
    <n v="1"/>
    <n v="1"/>
    <m/>
    <m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x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x v="0"/>
    <n v="3"/>
    <n v="1"/>
    <m/>
    <m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x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x v="4"/>
    <n v="1"/>
    <n v="1"/>
    <m/>
    <m/>
    <x v="0"/>
  </r>
  <r>
    <n v="28"/>
    <x v="1"/>
    <s v="Travel_Rarely"/>
    <n v="821"/>
    <s v="Sales"/>
    <n v="5"/>
    <n v="4"/>
    <s v="Medical"/>
    <n v="1"/>
    <n v="916"/>
    <n v="1"/>
    <s v="Male"/>
    <n v="98"/>
    <n v="3"/>
    <x v="0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x v="0"/>
    <n v="2"/>
    <n v="1"/>
    <m/>
    <m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x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x v="0"/>
    <n v="0"/>
    <n v="1"/>
    <m/>
    <m/>
    <x v="1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x v="0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x v="0"/>
    <n v="0"/>
    <n v="1"/>
    <m/>
    <m/>
    <x v="1"/>
  </r>
  <r>
    <n v="20"/>
    <x v="0"/>
    <s v="Travel_Rarely"/>
    <n v="500"/>
    <s v="Sales"/>
    <n v="2"/>
    <n v="3"/>
    <s v="Medical"/>
    <n v="1"/>
    <n v="922"/>
    <n v="3"/>
    <s v="Female"/>
    <n v="49"/>
    <n v="2"/>
    <x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x v="0"/>
    <n v="2"/>
    <n v="1"/>
    <m/>
    <m/>
    <x v="1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x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x v="0"/>
    <n v="0"/>
    <n v="1"/>
    <m/>
    <m/>
    <x v="1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x v="0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x v="5"/>
    <n v="11"/>
    <n v="1"/>
    <m/>
    <m/>
    <x v="5"/>
  </r>
  <r>
    <n v="47"/>
    <x v="1"/>
    <s v="Travel_Rarely"/>
    <n v="1454"/>
    <s v="Sales"/>
    <n v="2"/>
    <n v="4"/>
    <s v="Life Sciences"/>
    <n v="1"/>
    <n v="925"/>
    <n v="4"/>
    <s v="Female"/>
    <n v="65"/>
    <n v="2"/>
    <x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x v="1"/>
    <n v="2"/>
    <n v="1"/>
    <m/>
    <m/>
    <x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x v="0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x v="0"/>
    <n v="2"/>
    <n v="1"/>
    <m/>
    <m/>
    <x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x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x v="1"/>
    <n v="0"/>
    <n v="1"/>
    <m/>
    <m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x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x v="3"/>
    <n v="2"/>
    <n v="1"/>
    <m/>
    <m/>
    <x v="1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x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x v="3"/>
    <n v="2"/>
    <n v="1"/>
    <m/>
    <m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x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x v="0"/>
    <n v="0"/>
    <n v="1"/>
    <m/>
    <m/>
    <x v="1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x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x v="1"/>
    <n v="0"/>
    <n v="1"/>
    <m/>
    <m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x v="0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x v="0"/>
    <n v="3"/>
    <n v="1"/>
    <m/>
    <m/>
    <x v="2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x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x v="0"/>
    <n v="2"/>
    <n v="1"/>
    <m/>
    <m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x v="2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x v="0"/>
    <n v="4"/>
    <n v="1"/>
    <m/>
    <m/>
    <x v="0"/>
  </r>
  <r>
    <n v="31"/>
    <x v="1"/>
    <s v="Travel_Rarely"/>
    <n v="154"/>
    <s v="Sales"/>
    <n v="7"/>
    <n v="4"/>
    <s v="Life Sciences"/>
    <n v="1"/>
    <n v="941"/>
    <n v="2"/>
    <s v="Male"/>
    <n v="41"/>
    <n v="2"/>
    <x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x v="8"/>
    <n v="2"/>
    <n v="1"/>
    <m/>
    <m/>
    <x v="0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x v="0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x v="0"/>
    <n v="7"/>
    <n v="1"/>
    <m/>
    <m/>
    <x v="0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x v="2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x v="1"/>
    <n v="7"/>
    <n v="1"/>
    <m/>
    <m/>
    <x v="3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x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x v="0"/>
    <n v="0"/>
    <n v="1"/>
    <m/>
    <m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x v="0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x v="0"/>
    <n v="0"/>
    <n v="1"/>
    <m/>
    <m/>
    <x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x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x v="0"/>
    <n v="1"/>
    <n v="1"/>
    <m/>
    <m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x v="2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x v="8"/>
    <n v="11"/>
    <n v="1"/>
    <m/>
    <m/>
    <x v="4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x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x v="0"/>
    <n v="2"/>
    <n v="1"/>
    <m/>
    <m/>
    <x v="2"/>
  </r>
  <r>
    <n v="25"/>
    <x v="0"/>
    <s v="Travel_Rarely"/>
    <n v="867"/>
    <s v="Sales"/>
    <n v="19"/>
    <n v="2"/>
    <s v="Marketing"/>
    <n v="1"/>
    <n v="952"/>
    <n v="3"/>
    <s v="Male"/>
    <n v="36"/>
    <n v="2"/>
    <x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x v="0"/>
    <n v="0"/>
    <n v="1"/>
    <m/>
    <m/>
    <x v="1"/>
  </r>
  <r>
    <n v="40"/>
    <x v="1"/>
    <s v="Travel_Rarely"/>
    <n v="658"/>
    <s v="Sales"/>
    <n v="10"/>
    <n v="4"/>
    <s v="Marketing"/>
    <n v="1"/>
    <n v="954"/>
    <n v="1"/>
    <s v="Male"/>
    <n v="67"/>
    <n v="2"/>
    <x v="2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x v="0"/>
    <n v="0"/>
    <n v="1"/>
    <m/>
    <m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x v="0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x v="0"/>
    <n v="7"/>
    <n v="1"/>
    <m/>
    <m/>
    <x v="0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x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x v="3"/>
    <n v="17"/>
    <n v="1"/>
    <m/>
    <m/>
    <x v="5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x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x v="2"/>
    <n v="9"/>
    <n v="1"/>
    <m/>
    <m/>
    <x v="4"/>
  </r>
  <r>
    <n v="19"/>
    <x v="0"/>
    <s v="Travel_Rarely"/>
    <n v="419"/>
    <s v="Sales"/>
    <n v="21"/>
    <n v="3"/>
    <s v="Other"/>
    <n v="1"/>
    <n v="959"/>
    <n v="4"/>
    <s v="Male"/>
    <n v="37"/>
    <n v="2"/>
    <x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x v="0"/>
    <n v="0"/>
    <n v="1"/>
    <m/>
    <m/>
    <x v="1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x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x v="0"/>
    <n v="0"/>
    <n v="1"/>
    <m/>
    <m/>
    <x v="1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x v="0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x v="6"/>
    <n v="5"/>
    <n v="1"/>
    <m/>
    <m/>
    <x v="0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x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x v="0"/>
    <n v="0"/>
    <n v="1"/>
    <m/>
    <m/>
    <x v="1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x v="0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x v="7"/>
    <n v="3"/>
    <n v="1"/>
    <m/>
    <m/>
    <x v="0"/>
  </r>
  <r>
    <n v="36"/>
    <x v="0"/>
    <s v="Travel_Rarely"/>
    <n v="530"/>
    <s v="Sales"/>
    <n v="3"/>
    <n v="1"/>
    <s v="Life Sciences"/>
    <n v="1"/>
    <n v="967"/>
    <n v="3"/>
    <s v="Male"/>
    <n v="51"/>
    <n v="2"/>
    <x v="2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x v="2"/>
    <n v="7"/>
    <n v="1"/>
    <m/>
    <m/>
    <x v="5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x v="0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x v="1"/>
    <n v="4"/>
    <n v="1"/>
    <m/>
    <m/>
    <x v="2"/>
  </r>
  <r>
    <n v="37"/>
    <x v="0"/>
    <s v="Travel_Rarely"/>
    <n v="625"/>
    <s v="Sales"/>
    <n v="1"/>
    <n v="4"/>
    <s v="Life Sciences"/>
    <n v="1"/>
    <n v="970"/>
    <n v="1"/>
    <s v="Male"/>
    <n v="46"/>
    <n v="2"/>
    <x v="2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x v="14"/>
    <n v="7"/>
    <n v="1"/>
    <m/>
    <m/>
    <x v="4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x v="0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x v="0"/>
    <n v="8"/>
    <n v="1"/>
    <m/>
    <m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x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x v="0"/>
    <n v="2"/>
    <n v="1"/>
    <m/>
    <m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x v="0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x v="1"/>
    <n v="0"/>
    <n v="1"/>
    <m/>
    <m/>
    <x v="2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x v="3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x v="4"/>
    <n v="8"/>
    <n v="1"/>
    <m/>
    <m/>
    <x v="0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x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x v="0"/>
    <n v="0"/>
    <n v="1"/>
    <m/>
    <m/>
    <x v="1"/>
  </r>
  <r>
    <n v="53"/>
    <x v="1"/>
    <s v="Travel_Rarely"/>
    <n v="1376"/>
    <s v="Sales"/>
    <n v="2"/>
    <n v="2"/>
    <s v="Medical"/>
    <n v="1"/>
    <n v="981"/>
    <n v="3"/>
    <s v="Male"/>
    <n v="45"/>
    <n v="3"/>
    <x v="3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x v="9"/>
    <n v="2"/>
    <n v="1"/>
    <m/>
    <m/>
    <x v="5"/>
  </r>
  <r>
    <n v="30"/>
    <x v="1"/>
    <s v="Travel_Rarely"/>
    <n v="231"/>
    <s v="Sales"/>
    <n v="8"/>
    <n v="2"/>
    <s v="Other"/>
    <n v="1"/>
    <n v="982"/>
    <n v="3"/>
    <s v="Male"/>
    <n v="62"/>
    <n v="3"/>
    <x v="2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x v="4"/>
    <n v="7"/>
    <n v="1"/>
    <m/>
    <m/>
    <x v="0"/>
  </r>
  <r>
    <n v="38"/>
    <x v="1"/>
    <s v="Non-Travel"/>
    <n v="152"/>
    <s v="Sales"/>
    <n v="10"/>
    <n v="3"/>
    <s v="Technical Degree"/>
    <n v="1"/>
    <n v="983"/>
    <n v="3"/>
    <s v="Female"/>
    <n v="85"/>
    <n v="3"/>
    <x v="0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x v="1"/>
    <n v="3"/>
    <n v="1"/>
    <m/>
    <m/>
    <x v="2"/>
  </r>
  <r>
    <n v="35"/>
    <x v="1"/>
    <s v="Travel_Rarely"/>
    <n v="882"/>
    <s v="Sales"/>
    <n v="3"/>
    <n v="4"/>
    <s v="Life Sciences"/>
    <n v="1"/>
    <n v="984"/>
    <n v="4"/>
    <s v="Male"/>
    <n v="92"/>
    <n v="3"/>
    <x v="2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x v="0"/>
    <n v="8"/>
    <n v="1"/>
    <m/>
    <m/>
    <x v="0"/>
  </r>
  <r>
    <n v="39"/>
    <x v="1"/>
    <s v="Travel_Rarely"/>
    <n v="903"/>
    <s v="Sales"/>
    <n v="2"/>
    <n v="5"/>
    <s v="Life Sciences"/>
    <n v="1"/>
    <n v="985"/>
    <n v="1"/>
    <s v="Male"/>
    <n v="41"/>
    <n v="4"/>
    <x v="2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x v="0"/>
    <n v="7"/>
    <n v="1"/>
    <m/>
    <m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x v="3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x v="0"/>
    <n v="0"/>
    <n v="1"/>
    <m/>
    <m/>
    <x v="1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x v="0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x v="3"/>
    <n v="7"/>
    <n v="1"/>
    <m/>
    <m/>
    <x v="5"/>
  </r>
  <r>
    <n v="36"/>
    <x v="1"/>
    <s v="Non-Travel"/>
    <n v="1229"/>
    <s v="Sales"/>
    <n v="8"/>
    <n v="4"/>
    <s v="Technical Degree"/>
    <n v="1"/>
    <n v="990"/>
    <n v="1"/>
    <s v="Male"/>
    <n v="84"/>
    <n v="3"/>
    <x v="0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x v="0"/>
    <n v="7"/>
    <n v="1"/>
    <m/>
    <m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x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x v="1"/>
    <n v="2"/>
    <n v="1"/>
    <m/>
    <m/>
    <x v="2"/>
  </r>
  <r>
    <n v="33"/>
    <x v="1"/>
    <s v="Non-Travel"/>
    <n v="722"/>
    <s v="Sales"/>
    <n v="17"/>
    <n v="3"/>
    <s v="Life Sciences"/>
    <n v="1"/>
    <n v="992"/>
    <n v="4"/>
    <s v="Male"/>
    <n v="38"/>
    <n v="3"/>
    <x v="3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x v="7"/>
    <n v="0"/>
    <n v="1"/>
    <m/>
    <m/>
    <x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x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x v="0"/>
    <n v="0"/>
    <n v="1"/>
    <m/>
    <m/>
    <x v="1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x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x v="0"/>
    <n v="2"/>
    <n v="1"/>
    <m/>
    <m/>
    <x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x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x v="0"/>
    <n v="2"/>
    <n v="1"/>
    <m/>
    <m/>
    <x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x v="3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x v="1"/>
    <n v="3"/>
    <n v="1"/>
    <m/>
    <m/>
    <x v="2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x v="0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x v="1"/>
    <n v="2"/>
    <n v="1"/>
    <m/>
    <m/>
    <x v="0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x v="4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x v="0"/>
    <n v="11"/>
    <n v="1"/>
    <m/>
    <m/>
    <x v="5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x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x v="3"/>
    <n v="2"/>
    <n v="1"/>
    <m/>
    <m/>
    <x v="1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x v="0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x v="0"/>
    <n v="8"/>
    <n v="1"/>
    <m/>
    <m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x v="0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x v="0"/>
    <n v="7"/>
    <n v="1"/>
    <m/>
    <m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x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x v="0"/>
    <n v="1"/>
    <n v="1"/>
    <m/>
    <m/>
    <x v="2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x v="3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x v="1"/>
    <n v="5"/>
    <n v="1"/>
    <m/>
    <m/>
    <x v="4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x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x v="0"/>
    <n v="2"/>
    <n v="1"/>
    <m/>
    <m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x v="2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x v="0"/>
    <n v="7"/>
    <n v="1"/>
    <m/>
    <m/>
    <x v="0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x v="0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x v="2"/>
    <n v="2"/>
    <n v="1"/>
    <m/>
    <m/>
    <x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x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x v="0"/>
    <n v="2"/>
    <n v="1"/>
    <m/>
    <m/>
    <x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x v="0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x v="0"/>
    <n v="3"/>
    <n v="1"/>
    <m/>
    <m/>
    <x v="2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x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x v="0"/>
    <n v="0"/>
    <n v="1"/>
    <m/>
    <m/>
    <x v="1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x v="2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x v="0"/>
    <n v="8"/>
    <n v="1"/>
    <m/>
    <m/>
    <x v="0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x v="2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x v="13"/>
    <n v="1"/>
    <n v="1"/>
    <m/>
    <m/>
    <x v="5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x v="2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x v="1"/>
    <n v="7"/>
    <n v="1"/>
    <m/>
    <m/>
    <x v="0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x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x v="0"/>
    <n v="0"/>
    <n v="1"/>
    <m/>
    <m/>
    <x v="1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x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x v="1"/>
    <n v="2"/>
    <n v="1"/>
    <m/>
    <m/>
    <x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x v="0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x v="1"/>
    <n v="3"/>
    <n v="1"/>
    <m/>
    <m/>
    <x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x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x v="1"/>
    <n v="1"/>
    <n v="1"/>
    <m/>
    <m/>
    <x v="2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x v="0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x v="3"/>
    <n v="2"/>
    <n v="1"/>
    <m/>
    <m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x v="2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x v="5"/>
    <n v="8"/>
    <n v="1"/>
    <m/>
    <m/>
    <x v="4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x v="0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x v="3"/>
    <n v="1"/>
    <n v="1"/>
    <m/>
    <m/>
    <x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x v="3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x v="14"/>
    <n v="8"/>
    <n v="1"/>
    <m/>
    <m/>
    <x v="3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x v="0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x v="3"/>
    <n v="2"/>
    <n v="1"/>
    <m/>
    <m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x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x v="1"/>
    <n v="2"/>
    <n v="1"/>
    <m/>
    <m/>
    <x v="2"/>
  </r>
  <r>
    <n v="42"/>
    <x v="1"/>
    <s v="Travel_Rarely"/>
    <n v="265"/>
    <s v="Sales"/>
    <n v="5"/>
    <n v="2"/>
    <s v="Marketing"/>
    <n v="1"/>
    <n v="1029"/>
    <n v="4"/>
    <s v="Male"/>
    <n v="90"/>
    <n v="3"/>
    <x v="4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x v="0"/>
    <n v="0"/>
    <n v="1"/>
    <m/>
    <m/>
    <x v="1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x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x v="0"/>
    <n v="0"/>
    <n v="1"/>
    <m/>
    <m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x v="3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x v="5"/>
    <n v="3"/>
    <n v="1"/>
    <m/>
    <m/>
    <x v="2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x v="0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x v="0"/>
    <n v="0"/>
    <n v="1"/>
    <m/>
    <m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x v="0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x v="7"/>
    <n v="7"/>
    <n v="1"/>
    <m/>
    <m/>
    <x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x v="4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x v="8"/>
    <n v="10"/>
    <n v="1"/>
    <m/>
    <m/>
    <x v="3"/>
  </r>
  <r>
    <n v="38"/>
    <x v="1"/>
    <s v="Travel_Rarely"/>
    <n v="1035"/>
    <s v="Sales"/>
    <n v="3"/>
    <n v="4"/>
    <s v="Life Sciences"/>
    <n v="1"/>
    <n v="1036"/>
    <n v="2"/>
    <s v="Male"/>
    <n v="42"/>
    <n v="3"/>
    <x v="0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x v="0"/>
    <n v="0"/>
    <n v="1"/>
    <m/>
    <m/>
    <x v="1"/>
  </r>
  <r>
    <n v="26"/>
    <x v="0"/>
    <s v="Non-Travel"/>
    <n v="265"/>
    <s v="Sales"/>
    <n v="29"/>
    <n v="2"/>
    <s v="Medical"/>
    <n v="1"/>
    <n v="1037"/>
    <n v="2"/>
    <s v="Male"/>
    <n v="79"/>
    <n v="1"/>
    <x v="0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x v="3"/>
    <n v="2"/>
    <n v="1"/>
    <m/>
    <m/>
    <x v="1"/>
  </r>
  <r>
    <n v="52"/>
    <x v="0"/>
    <s v="Travel_Rarely"/>
    <n v="266"/>
    <s v="Sales"/>
    <n v="2"/>
    <n v="1"/>
    <s v="Marketing"/>
    <n v="1"/>
    <n v="1038"/>
    <n v="1"/>
    <s v="Female"/>
    <n v="57"/>
    <n v="1"/>
    <x v="4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x v="7"/>
    <n v="9"/>
    <n v="1"/>
    <m/>
    <m/>
    <x v="3"/>
  </r>
  <r>
    <n v="44"/>
    <x v="1"/>
    <s v="Travel_Rarely"/>
    <n v="1448"/>
    <s v="Sales"/>
    <n v="28"/>
    <n v="3"/>
    <s v="Medical"/>
    <n v="1"/>
    <n v="1039"/>
    <n v="4"/>
    <s v="Female"/>
    <n v="53"/>
    <n v="4"/>
    <x v="3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x v="14"/>
    <n v="11"/>
    <n v="1"/>
    <m/>
    <m/>
    <x v="4"/>
  </r>
  <r>
    <n v="50"/>
    <x v="1"/>
    <s v="Non-Travel"/>
    <n v="145"/>
    <s v="Sales"/>
    <n v="1"/>
    <n v="3"/>
    <s v="Life Sciences"/>
    <n v="1"/>
    <n v="1040"/>
    <n v="4"/>
    <s v="Female"/>
    <n v="95"/>
    <n v="3"/>
    <x v="0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x v="0"/>
    <n v="13"/>
    <n v="1"/>
    <m/>
    <m/>
    <x v="5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x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x v="9"/>
    <n v="14"/>
    <n v="1"/>
    <m/>
    <m/>
    <x v="5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x v="2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x v="3"/>
    <n v="8"/>
    <n v="1"/>
    <m/>
    <m/>
    <x v="3"/>
  </r>
  <r>
    <n v="33"/>
    <x v="1"/>
    <s v="Non-Travel"/>
    <n v="1038"/>
    <s v="Sales"/>
    <n v="8"/>
    <n v="1"/>
    <s v="Life Sciences"/>
    <n v="1"/>
    <n v="1044"/>
    <n v="2"/>
    <s v="Female"/>
    <n v="88"/>
    <n v="2"/>
    <x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x v="3"/>
    <n v="2"/>
    <n v="1"/>
    <m/>
    <m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x v="3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x v="1"/>
    <n v="1"/>
    <n v="1"/>
    <m/>
    <m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x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x v="4"/>
    <n v="7"/>
    <n v="1"/>
    <m/>
    <m/>
    <x v="0"/>
  </r>
  <r>
    <n v="34"/>
    <x v="1"/>
    <s v="Travel_Rarely"/>
    <n v="216"/>
    <s v="Sales"/>
    <n v="1"/>
    <n v="4"/>
    <s v="Marketing"/>
    <n v="1"/>
    <n v="1047"/>
    <n v="2"/>
    <s v="Male"/>
    <n v="75"/>
    <n v="4"/>
    <x v="0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x v="0"/>
    <n v="9"/>
    <n v="1"/>
    <m/>
    <m/>
    <x v="4"/>
  </r>
  <r>
    <n v="59"/>
    <x v="1"/>
    <s v="Travel_Rarely"/>
    <n v="1089"/>
    <s v="Sales"/>
    <n v="1"/>
    <n v="2"/>
    <s v="Technical Degree"/>
    <n v="1"/>
    <n v="1048"/>
    <n v="2"/>
    <s v="Male"/>
    <n v="66"/>
    <n v="3"/>
    <x v="2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x v="0"/>
    <n v="4"/>
    <n v="1"/>
    <m/>
    <m/>
    <x v="0"/>
  </r>
  <r>
    <n v="45"/>
    <x v="1"/>
    <s v="Travel_Rarely"/>
    <n v="788"/>
    <s v="Human Resources"/>
    <n v="24"/>
    <n v="4"/>
    <s v="Medical"/>
    <n v="1"/>
    <n v="1049"/>
    <n v="2"/>
    <s v="Male"/>
    <n v="36"/>
    <n v="3"/>
    <x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x v="0"/>
    <n v="4"/>
    <n v="1"/>
    <m/>
    <m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x v="2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x v="7"/>
    <n v="12"/>
    <n v="1"/>
    <m/>
    <m/>
    <x v="4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x v="0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x v="0"/>
    <n v="0"/>
    <n v="1"/>
    <m/>
    <m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x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x v="1"/>
    <n v="2"/>
    <n v="1"/>
    <m/>
    <m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x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x v="0"/>
    <n v="0"/>
    <n v="1"/>
    <m/>
    <m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x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x v="0"/>
    <n v="0"/>
    <n v="1"/>
    <m/>
    <m/>
    <x v="1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x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x v="3"/>
    <n v="2"/>
    <n v="1"/>
    <m/>
    <m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x v="4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x v="4"/>
    <n v="7"/>
    <n v="1"/>
    <m/>
    <m/>
    <x v="0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x v="0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x v="0"/>
    <n v="1"/>
    <n v="1"/>
    <m/>
    <m/>
    <x v="2"/>
  </r>
  <r>
    <n v="40"/>
    <x v="1"/>
    <s v="Travel_Rarely"/>
    <n v="300"/>
    <s v="Sales"/>
    <n v="26"/>
    <n v="3"/>
    <s v="Marketing"/>
    <n v="1"/>
    <n v="1066"/>
    <n v="3"/>
    <s v="Male"/>
    <n v="74"/>
    <n v="3"/>
    <x v="0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x v="4"/>
    <n v="5"/>
    <n v="1"/>
    <m/>
    <m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x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x v="1"/>
    <n v="3"/>
    <n v="1"/>
    <m/>
    <m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x v="4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x v="3"/>
    <n v="2"/>
    <n v="1"/>
    <m/>
    <m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x v="2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x v="4"/>
    <n v="0"/>
    <n v="1"/>
    <m/>
    <m/>
    <x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x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x v="0"/>
    <n v="3"/>
    <n v="1"/>
    <m/>
    <m/>
    <x v="2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x v="2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x v="4"/>
    <n v="8"/>
    <n v="1"/>
    <m/>
    <m/>
    <x v="4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x v="3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x v="7"/>
    <n v="2"/>
    <n v="1"/>
    <m/>
    <m/>
    <x v="0"/>
  </r>
  <r>
    <n v="43"/>
    <x v="1"/>
    <s v="Travel_Rarely"/>
    <n v="415"/>
    <s v="Sales"/>
    <n v="25"/>
    <n v="3"/>
    <s v="Medical"/>
    <n v="1"/>
    <n v="1076"/>
    <n v="3"/>
    <s v="Male"/>
    <n v="79"/>
    <n v="2"/>
    <x v="2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x v="0"/>
    <n v="0"/>
    <n v="1"/>
    <m/>
    <m/>
    <x v="1"/>
  </r>
  <r>
    <n v="20"/>
    <x v="0"/>
    <s v="Travel_Frequently"/>
    <n v="769"/>
    <s v="Sales"/>
    <n v="9"/>
    <n v="3"/>
    <s v="Marketing"/>
    <n v="1"/>
    <n v="1077"/>
    <n v="4"/>
    <s v="Female"/>
    <n v="54"/>
    <n v="3"/>
    <x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x v="0"/>
    <n v="2"/>
    <n v="1"/>
    <m/>
    <m/>
    <x v="1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x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x v="1"/>
    <n v="0"/>
    <n v="1"/>
    <m/>
    <m/>
    <x v="1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x v="0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x v="1"/>
    <n v="7"/>
    <n v="1"/>
    <m/>
    <m/>
    <x v="5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x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x v="3"/>
    <n v="7"/>
    <n v="1"/>
    <m/>
    <m/>
    <x v="0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x v="2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x v="1"/>
    <n v="9"/>
    <n v="1"/>
    <m/>
    <m/>
    <x v="0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x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x v="1"/>
    <n v="3"/>
    <n v="1"/>
    <m/>
    <m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x v="0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x v="0"/>
    <n v="2"/>
    <n v="1"/>
    <m/>
    <m/>
    <x v="0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x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x v="0"/>
    <n v="8"/>
    <n v="1"/>
    <m/>
    <m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x v="2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x v="1"/>
    <n v="9"/>
    <n v="1"/>
    <m/>
    <m/>
    <x v="5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x v="2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x v="14"/>
    <n v="1"/>
    <n v="1"/>
    <m/>
    <m/>
    <x v="4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x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x v="1"/>
    <n v="2"/>
    <n v="1"/>
    <m/>
    <m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x v="2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x v="1"/>
    <n v="2"/>
    <n v="1"/>
    <m/>
    <m/>
    <x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x v="0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x v="1"/>
    <n v="7"/>
    <n v="1"/>
    <m/>
    <m/>
    <x v="0"/>
  </r>
  <r>
    <n v="44"/>
    <x v="0"/>
    <s v="Travel_Rarely"/>
    <n v="1376"/>
    <s v="Human Resources"/>
    <n v="1"/>
    <n v="2"/>
    <s v="Medical"/>
    <n v="1"/>
    <n v="1098"/>
    <n v="2"/>
    <s v="Male"/>
    <n v="91"/>
    <n v="2"/>
    <x v="2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x v="2"/>
    <n v="6"/>
    <n v="1"/>
    <m/>
    <m/>
    <x v="5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x v="2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x v="1"/>
    <n v="2"/>
    <n v="1"/>
    <m/>
    <m/>
    <x v="2"/>
  </r>
  <r>
    <n v="35"/>
    <x v="0"/>
    <s v="Travel_Rarely"/>
    <n v="1204"/>
    <s v="Sales"/>
    <n v="4"/>
    <n v="3"/>
    <s v="Technical Degree"/>
    <n v="1"/>
    <n v="1100"/>
    <n v="4"/>
    <s v="Male"/>
    <n v="86"/>
    <n v="3"/>
    <x v="2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x v="5"/>
    <n v="7"/>
    <n v="1"/>
    <m/>
    <m/>
    <x v="0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x v="0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x v="2"/>
    <n v="8"/>
    <n v="1"/>
    <m/>
    <m/>
    <x v="4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x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x v="3"/>
    <n v="2"/>
    <n v="1"/>
    <m/>
    <m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x v="0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x v="0"/>
    <n v="4"/>
    <n v="1"/>
    <m/>
    <m/>
    <x v="0"/>
  </r>
  <r>
    <n v="37"/>
    <x v="1"/>
    <s v="Travel_Rarely"/>
    <n v="309"/>
    <s v="Sales"/>
    <n v="10"/>
    <n v="4"/>
    <s v="Life Sciences"/>
    <n v="1"/>
    <n v="1105"/>
    <n v="4"/>
    <s v="Female"/>
    <n v="88"/>
    <n v="2"/>
    <x v="0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x v="0"/>
    <n v="0"/>
    <n v="1"/>
    <m/>
    <m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x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x v="8"/>
    <n v="6"/>
    <n v="1"/>
    <m/>
    <m/>
    <x v="0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x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x v="0"/>
    <n v="0"/>
    <n v="1"/>
    <m/>
    <m/>
    <x v="1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x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x v="3"/>
    <n v="2"/>
    <n v="1"/>
    <m/>
    <m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x v="3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x v="11"/>
    <n v="7"/>
    <n v="1"/>
    <m/>
    <m/>
    <x v="3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x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x v="0"/>
    <n v="0"/>
    <n v="1"/>
    <m/>
    <m/>
    <x v="1"/>
  </r>
  <r>
    <n v="50"/>
    <x v="0"/>
    <s v="Travel_Frequently"/>
    <n v="959"/>
    <s v="Sales"/>
    <n v="1"/>
    <n v="4"/>
    <s v="Other"/>
    <n v="1"/>
    <n v="1113"/>
    <n v="4"/>
    <s v="Male"/>
    <n v="81"/>
    <n v="3"/>
    <x v="0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x v="0"/>
    <n v="0"/>
    <n v="1"/>
    <m/>
    <m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x v="0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x v="0"/>
    <n v="2"/>
    <n v="1"/>
    <m/>
    <m/>
    <x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x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x v="0"/>
    <n v="0"/>
    <n v="1"/>
    <m/>
    <m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x v="3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x v="3"/>
    <n v="1"/>
    <n v="1"/>
    <m/>
    <m/>
    <x v="2"/>
  </r>
  <r>
    <n v="45"/>
    <x v="1"/>
    <s v="Non-Travel"/>
    <n v="1050"/>
    <s v="Sales"/>
    <n v="9"/>
    <n v="4"/>
    <s v="Life Sciences"/>
    <n v="1"/>
    <n v="1117"/>
    <n v="2"/>
    <s v="Female"/>
    <n v="65"/>
    <n v="2"/>
    <x v="0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x v="5"/>
    <n v="12"/>
    <n v="1"/>
    <m/>
    <m/>
    <x v="4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x v="2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x v="5"/>
    <n v="0"/>
    <n v="1"/>
    <m/>
    <m/>
    <x v="0"/>
  </r>
  <r>
    <n v="38"/>
    <x v="1"/>
    <s v="Travel_Rarely"/>
    <n v="770"/>
    <s v="Sales"/>
    <n v="10"/>
    <n v="4"/>
    <s v="Marketing"/>
    <n v="1"/>
    <n v="1119"/>
    <n v="3"/>
    <s v="Male"/>
    <n v="73"/>
    <n v="2"/>
    <x v="2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x v="3"/>
    <n v="7"/>
    <n v="1"/>
    <m/>
    <m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x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x v="1"/>
    <n v="7"/>
    <n v="1"/>
    <m/>
    <m/>
    <x v="0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x v="2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x v="1"/>
    <n v="7"/>
    <n v="1"/>
    <m/>
    <m/>
    <x v="0"/>
  </r>
  <r>
    <n v="46"/>
    <x v="1"/>
    <s v="Travel_Rarely"/>
    <n v="406"/>
    <s v="Sales"/>
    <n v="3"/>
    <n v="1"/>
    <s v="Marketing"/>
    <n v="1"/>
    <n v="1124"/>
    <n v="1"/>
    <s v="Male"/>
    <n v="52"/>
    <n v="3"/>
    <x v="3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x v="5"/>
    <n v="9"/>
    <n v="1"/>
    <m/>
    <m/>
    <x v="4"/>
  </r>
  <r>
    <n v="38"/>
    <x v="1"/>
    <s v="Travel_Rarely"/>
    <n v="130"/>
    <s v="Sales"/>
    <n v="2"/>
    <n v="2"/>
    <s v="Marketing"/>
    <n v="1"/>
    <n v="1125"/>
    <n v="4"/>
    <s v="Male"/>
    <n v="32"/>
    <n v="3"/>
    <x v="2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x v="0"/>
    <n v="0"/>
    <n v="1"/>
    <m/>
    <m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x v="2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x v="0"/>
    <n v="1"/>
    <n v="1"/>
    <m/>
    <m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x v="3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x v="14"/>
    <n v="5"/>
    <n v="1"/>
    <m/>
    <m/>
    <x v="5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x v="4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x v="5"/>
    <n v="9"/>
    <n v="1"/>
    <m/>
    <m/>
    <x v="5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x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x v="3"/>
    <n v="2"/>
    <n v="1"/>
    <m/>
    <m/>
    <x v="1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x v="0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x v="0"/>
    <n v="3"/>
    <n v="1"/>
    <m/>
    <m/>
    <x v="2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x v="0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x v="0"/>
    <n v="9"/>
    <n v="1"/>
    <m/>
    <m/>
    <x v="4"/>
  </r>
  <r>
    <n v="31"/>
    <x v="1"/>
    <s v="Travel_Frequently"/>
    <n v="793"/>
    <s v="Sales"/>
    <n v="20"/>
    <n v="3"/>
    <s v="Life Sciences"/>
    <n v="1"/>
    <n v="1135"/>
    <n v="3"/>
    <s v="Male"/>
    <n v="67"/>
    <n v="4"/>
    <x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x v="3"/>
    <n v="2"/>
    <n v="1"/>
    <m/>
    <m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x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x v="0"/>
    <n v="4"/>
    <n v="1"/>
    <m/>
    <m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x v="0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x v="0"/>
    <n v="2"/>
    <n v="1"/>
    <m/>
    <m/>
    <x v="2"/>
  </r>
  <r>
    <n v="49"/>
    <x v="1"/>
    <s v="Travel_Rarely"/>
    <n v="174"/>
    <s v="Sales"/>
    <n v="8"/>
    <n v="4"/>
    <s v="Technical Degree"/>
    <n v="1"/>
    <n v="1138"/>
    <n v="4"/>
    <s v="Male"/>
    <n v="56"/>
    <n v="2"/>
    <x v="3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x v="3"/>
    <n v="3"/>
    <n v="1"/>
    <m/>
    <m/>
    <x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x v="0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x v="0"/>
    <n v="2"/>
    <n v="1"/>
    <m/>
    <m/>
    <x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x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x v="1"/>
    <n v="1"/>
    <n v="1"/>
    <m/>
    <m/>
    <x v="0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x v="0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x v="0"/>
    <n v="0"/>
    <n v="1"/>
    <m/>
    <m/>
    <x v="1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x v="0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x v="1"/>
    <n v="2"/>
    <n v="1"/>
    <m/>
    <m/>
    <x v="0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x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x v="8"/>
    <n v="0"/>
    <n v="1"/>
    <m/>
    <m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x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x v="0"/>
    <n v="2"/>
    <n v="1"/>
    <m/>
    <m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x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x v="0"/>
    <n v="0"/>
    <n v="1"/>
    <m/>
    <m/>
    <x v="1"/>
  </r>
  <r>
    <n v="33"/>
    <x v="0"/>
    <s v="Travel_Rarely"/>
    <n v="603"/>
    <s v="Sales"/>
    <n v="9"/>
    <n v="4"/>
    <s v="Marketing"/>
    <n v="1"/>
    <n v="1157"/>
    <n v="1"/>
    <s v="Female"/>
    <n v="77"/>
    <n v="3"/>
    <x v="0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x v="0"/>
    <n v="3"/>
    <n v="1"/>
    <m/>
    <m/>
    <x v="2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x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x v="0"/>
    <n v="0"/>
    <n v="1"/>
    <m/>
    <m/>
    <x v="1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x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x v="3"/>
    <n v="2"/>
    <n v="1"/>
    <m/>
    <m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x v="0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x v="1"/>
    <n v="3"/>
    <n v="1"/>
    <m/>
    <m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x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x v="3"/>
    <n v="2"/>
    <n v="1"/>
    <m/>
    <m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x v="0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x v="1"/>
    <n v="3"/>
    <n v="1"/>
    <m/>
    <m/>
    <x v="0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x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x v="1"/>
    <n v="4"/>
    <n v="1"/>
    <m/>
    <m/>
    <x v="2"/>
  </r>
  <r>
    <n v="29"/>
    <x v="0"/>
    <s v="Travel_Rarely"/>
    <n v="408"/>
    <s v="Sales"/>
    <n v="23"/>
    <n v="1"/>
    <s v="Life Sciences"/>
    <n v="1"/>
    <n v="1165"/>
    <n v="4"/>
    <s v="Female"/>
    <n v="45"/>
    <n v="2"/>
    <x v="2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x v="2"/>
    <n v="10"/>
    <n v="1"/>
    <m/>
    <m/>
    <x v="4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x v="2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x v="3"/>
    <n v="13"/>
    <n v="1"/>
    <m/>
    <m/>
    <x v="5"/>
  </r>
  <r>
    <n v="42"/>
    <x v="0"/>
    <s v="Travel_Frequently"/>
    <n v="481"/>
    <s v="Sales"/>
    <n v="12"/>
    <n v="3"/>
    <s v="Life Sciences"/>
    <n v="1"/>
    <n v="1167"/>
    <n v="3"/>
    <s v="Male"/>
    <n v="44"/>
    <n v="3"/>
    <x v="3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x v="11"/>
    <n v="14"/>
    <n v="1"/>
    <m/>
    <m/>
    <x v="3"/>
  </r>
  <r>
    <n v="42"/>
    <x v="1"/>
    <s v="Travel_Rarely"/>
    <n v="647"/>
    <s v="Sales"/>
    <n v="4"/>
    <n v="4"/>
    <s v="Marketing"/>
    <n v="1"/>
    <n v="1171"/>
    <n v="2"/>
    <s v="Male"/>
    <n v="45"/>
    <n v="3"/>
    <x v="0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x v="1"/>
    <n v="5"/>
    <n v="1"/>
    <m/>
    <m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x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x v="1"/>
    <n v="7"/>
    <n v="1"/>
    <m/>
    <m/>
    <x v="0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x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x v="1"/>
    <n v="2"/>
    <n v="1"/>
    <m/>
    <m/>
    <x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x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x v="0"/>
    <n v="0"/>
    <n v="1"/>
    <m/>
    <m/>
    <x v="1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x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x v="0"/>
    <n v="7"/>
    <n v="1"/>
    <m/>
    <m/>
    <x v="0"/>
  </r>
  <r>
    <n v="30"/>
    <x v="1"/>
    <s v="Travel_Rarely"/>
    <n v="852"/>
    <s v="Sales"/>
    <n v="10"/>
    <n v="3"/>
    <s v="Marketing"/>
    <n v="1"/>
    <n v="1179"/>
    <n v="3"/>
    <s v="Male"/>
    <n v="72"/>
    <n v="2"/>
    <x v="0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x v="1"/>
    <n v="4"/>
    <n v="1"/>
    <m/>
    <m/>
    <x v="0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x v="0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x v="0"/>
    <n v="0"/>
    <n v="1"/>
    <m/>
    <m/>
    <x v="1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x v="2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x v="7"/>
    <n v="4"/>
    <n v="1"/>
    <m/>
    <m/>
    <x v="0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x v="0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x v="5"/>
    <n v="9"/>
    <n v="1"/>
    <m/>
    <m/>
    <x v="4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x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x v="3"/>
    <n v="2"/>
    <n v="1"/>
    <m/>
    <m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x v="0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x v="1"/>
    <n v="3"/>
    <n v="1"/>
    <m/>
    <m/>
    <x v="2"/>
  </r>
  <r>
    <n v="32"/>
    <x v="1"/>
    <s v="Non-Travel"/>
    <n v="862"/>
    <s v="Sales"/>
    <n v="2"/>
    <n v="1"/>
    <s v="Life Sciences"/>
    <n v="1"/>
    <n v="1190"/>
    <n v="3"/>
    <s v="Female"/>
    <n v="76"/>
    <n v="3"/>
    <x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x v="0"/>
    <n v="0"/>
    <n v="1"/>
    <m/>
    <m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x v="4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x v="5"/>
    <n v="2"/>
    <n v="1"/>
    <m/>
    <m/>
    <x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x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x v="0"/>
    <n v="8"/>
    <n v="1"/>
    <m/>
    <m/>
    <x v="0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x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x v="0"/>
    <n v="0"/>
    <n v="1"/>
    <m/>
    <m/>
    <x v="1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x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x v="0"/>
    <n v="2"/>
    <n v="1"/>
    <m/>
    <m/>
    <x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x v="0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x v="2"/>
    <n v="11"/>
    <n v="1"/>
    <m/>
    <m/>
    <x v="4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x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x v="1"/>
    <n v="2"/>
    <n v="1"/>
    <m/>
    <m/>
    <x v="1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x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x v="0"/>
    <n v="2"/>
    <n v="1"/>
    <m/>
    <m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x v="4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x v="5"/>
    <n v="7"/>
    <n v="1"/>
    <m/>
    <m/>
    <x v="0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x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x v="1"/>
    <n v="3"/>
    <n v="1"/>
    <m/>
    <m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x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x v="0"/>
    <n v="0"/>
    <n v="1"/>
    <m/>
    <m/>
    <x v="1"/>
  </r>
  <r>
    <n v="46"/>
    <x v="1"/>
    <s v="Travel_Rarely"/>
    <n v="1402"/>
    <s v="Sales"/>
    <n v="2"/>
    <n v="3"/>
    <s v="Marketing"/>
    <n v="1"/>
    <n v="1204"/>
    <n v="3"/>
    <s v="Female"/>
    <n v="69"/>
    <n v="3"/>
    <x v="3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x v="9"/>
    <n v="9"/>
    <n v="1"/>
    <m/>
    <m/>
    <x v="3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x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x v="0"/>
    <n v="0"/>
    <n v="1"/>
    <m/>
    <m/>
    <x v="1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x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x v="1"/>
    <n v="4"/>
    <n v="1"/>
    <m/>
    <m/>
    <x v="2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x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x v="0"/>
    <n v="0"/>
    <n v="1"/>
    <m/>
    <m/>
    <x v="1"/>
  </r>
  <r>
    <n v="30"/>
    <x v="1"/>
    <s v="Travel_Rarely"/>
    <n v="1329"/>
    <s v="Sales"/>
    <n v="29"/>
    <n v="4"/>
    <s v="Life Sciences"/>
    <n v="1"/>
    <n v="1211"/>
    <n v="3"/>
    <s v="Male"/>
    <n v="61"/>
    <n v="3"/>
    <x v="0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x v="0"/>
    <n v="3"/>
    <n v="1"/>
    <m/>
    <m/>
    <x v="2"/>
  </r>
  <r>
    <n v="40"/>
    <x v="1"/>
    <s v="Travel_Frequently"/>
    <n v="1184"/>
    <s v="Sales"/>
    <n v="2"/>
    <n v="4"/>
    <s v="Medical"/>
    <n v="1"/>
    <n v="1212"/>
    <n v="2"/>
    <s v="Male"/>
    <n v="62"/>
    <n v="3"/>
    <x v="0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x v="0"/>
    <n v="0"/>
    <n v="1"/>
    <m/>
    <m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x v="3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x v="3"/>
    <n v="2"/>
    <n v="1"/>
    <m/>
    <m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x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x v="2"/>
    <n v="3"/>
    <n v="1"/>
    <m/>
    <m/>
    <x v="0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x v="4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x v="0"/>
    <n v="3"/>
    <n v="1"/>
    <m/>
    <m/>
    <x v="2"/>
  </r>
  <r>
    <n v="35"/>
    <x v="1"/>
    <s v="Travel_Rarely"/>
    <n v="1361"/>
    <s v="Sales"/>
    <n v="17"/>
    <n v="4"/>
    <s v="Life Sciences"/>
    <n v="1"/>
    <n v="1218"/>
    <n v="3"/>
    <s v="Male"/>
    <n v="94"/>
    <n v="3"/>
    <x v="0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x v="1"/>
    <n v="7"/>
    <n v="1"/>
    <m/>
    <m/>
    <x v="0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x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x v="0"/>
    <n v="0"/>
    <n v="1"/>
    <m/>
    <m/>
    <x v="1"/>
  </r>
  <r>
    <n v="33"/>
    <x v="1"/>
    <s v="Travel_Frequently"/>
    <n v="1146"/>
    <s v="Sales"/>
    <n v="25"/>
    <n v="3"/>
    <s v="Medical"/>
    <n v="1"/>
    <n v="1220"/>
    <n v="2"/>
    <s v="Female"/>
    <n v="82"/>
    <n v="3"/>
    <x v="0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x v="0"/>
    <n v="1"/>
    <n v="1"/>
    <m/>
    <m/>
    <x v="0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x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x v="1"/>
    <n v="7"/>
    <n v="1"/>
    <m/>
    <m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x v="0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x v="6"/>
    <n v="9"/>
    <n v="1"/>
    <m/>
    <m/>
    <x v="0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x v="0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x v="11"/>
    <n v="17"/>
    <n v="1"/>
    <m/>
    <m/>
    <x v="5"/>
  </r>
  <r>
    <n v="20"/>
    <x v="1"/>
    <s v="Travel_Rarely"/>
    <n v="654"/>
    <s v="Sales"/>
    <n v="21"/>
    <n v="3"/>
    <s v="Marketing"/>
    <n v="1"/>
    <n v="1226"/>
    <n v="3"/>
    <s v="Male"/>
    <n v="43"/>
    <n v="4"/>
    <x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x v="3"/>
    <n v="2"/>
    <n v="1"/>
    <m/>
    <m/>
    <x v="1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x v="0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x v="1"/>
    <n v="4"/>
    <n v="1"/>
    <m/>
    <m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x v="0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x v="0"/>
    <n v="3"/>
    <n v="1"/>
    <m/>
    <m/>
    <x v="2"/>
  </r>
  <r>
    <n v="60"/>
    <x v="1"/>
    <s v="Travel_Rarely"/>
    <n v="696"/>
    <s v="Sales"/>
    <n v="7"/>
    <n v="4"/>
    <s v="Marketing"/>
    <n v="1"/>
    <n v="1233"/>
    <n v="2"/>
    <s v="Male"/>
    <n v="52"/>
    <n v="4"/>
    <x v="0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x v="1"/>
    <n v="9"/>
    <n v="1"/>
    <m/>
    <m/>
    <x v="4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x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x v="3"/>
    <n v="2"/>
    <n v="1"/>
    <m/>
    <m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x v="0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x v="0"/>
    <n v="7"/>
    <n v="1"/>
    <m/>
    <m/>
    <x v="0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x v="2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x v="4"/>
    <n v="7"/>
    <n v="1"/>
    <m/>
    <m/>
    <x v="0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x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x v="5"/>
    <n v="10"/>
    <n v="1"/>
    <m/>
    <m/>
    <x v="4"/>
  </r>
  <r>
    <n v="40"/>
    <x v="1"/>
    <s v="Travel_Rarely"/>
    <n v="107"/>
    <s v="Sales"/>
    <n v="10"/>
    <n v="3"/>
    <s v="Technical Degree"/>
    <n v="1"/>
    <n v="1239"/>
    <n v="2"/>
    <s v="Female"/>
    <n v="84"/>
    <n v="2"/>
    <x v="0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x v="1"/>
    <n v="3"/>
    <n v="1"/>
    <m/>
    <m/>
    <x v="2"/>
  </r>
  <r>
    <n v="25"/>
    <x v="1"/>
    <s v="Travel_Rarely"/>
    <n v="1356"/>
    <s v="Sales"/>
    <n v="10"/>
    <n v="4"/>
    <s v="Life Sciences"/>
    <n v="1"/>
    <n v="1240"/>
    <n v="3"/>
    <s v="Male"/>
    <n v="57"/>
    <n v="3"/>
    <x v="0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x v="1"/>
    <n v="1"/>
    <n v="1"/>
    <m/>
    <m/>
    <x v="2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x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x v="8"/>
    <n v="7"/>
    <n v="1"/>
    <m/>
    <m/>
    <x v="4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x v="2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x v="0"/>
    <n v="0"/>
    <n v="1"/>
    <m/>
    <m/>
    <x v="1"/>
  </r>
  <r>
    <n v="35"/>
    <x v="1"/>
    <s v="Non-Travel"/>
    <n v="1212"/>
    <s v="Sales"/>
    <n v="8"/>
    <n v="2"/>
    <s v="Marketing"/>
    <n v="1"/>
    <n v="1243"/>
    <n v="3"/>
    <s v="Female"/>
    <n v="78"/>
    <n v="2"/>
    <x v="2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x v="5"/>
    <n v="12"/>
    <n v="1"/>
    <m/>
    <m/>
    <x v="4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x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x v="7"/>
    <n v="8"/>
    <n v="1"/>
    <m/>
    <m/>
    <x v="0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x v="2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x v="1"/>
    <n v="4"/>
    <n v="1"/>
    <m/>
    <m/>
    <x v="2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x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x v="4"/>
    <n v="7"/>
    <n v="1"/>
    <m/>
    <m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x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x v="0"/>
    <n v="0"/>
    <n v="1"/>
    <m/>
    <m/>
    <x v="1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x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x v="1"/>
    <n v="2"/>
    <n v="1"/>
    <m/>
    <m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x v="3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x v="0"/>
    <n v="9"/>
    <n v="1"/>
    <m/>
    <m/>
    <x v="0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x v="0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x v="0"/>
    <n v="1"/>
    <n v="1"/>
    <m/>
    <m/>
    <x v="0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x v="0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x v="1"/>
    <n v="8"/>
    <n v="1"/>
    <m/>
    <m/>
    <x v="0"/>
  </r>
  <r>
    <n v="59"/>
    <x v="1"/>
    <s v="Travel_Rarely"/>
    <n v="326"/>
    <s v="Sales"/>
    <n v="3"/>
    <n v="3"/>
    <s v="Life Sciences"/>
    <n v="1"/>
    <n v="1254"/>
    <n v="3"/>
    <s v="Female"/>
    <n v="48"/>
    <n v="2"/>
    <x v="0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x v="0"/>
    <n v="5"/>
    <n v="1"/>
    <m/>
    <m/>
    <x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x v="4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x v="0"/>
    <n v="7"/>
    <n v="1"/>
    <m/>
    <m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x v="4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x v="0"/>
    <n v="0"/>
    <n v="1"/>
    <m/>
    <m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x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x v="0"/>
    <n v="7"/>
    <n v="1"/>
    <m/>
    <m/>
    <x v="4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x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x v="0"/>
    <n v="0"/>
    <n v="1"/>
    <m/>
    <m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x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x v="0"/>
    <n v="3"/>
    <n v="1"/>
    <m/>
    <m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x v="0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x v="1"/>
    <n v="0"/>
    <n v="1"/>
    <m/>
    <m/>
    <x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x v="4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x v="0"/>
    <n v="0"/>
    <n v="1"/>
    <m/>
    <m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x v="3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x v="1"/>
    <n v="7"/>
    <n v="1"/>
    <m/>
    <m/>
    <x v="0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x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x v="0"/>
    <n v="0"/>
    <n v="1"/>
    <m/>
    <m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x v="4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x v="2"/>
    <n v="10"/>
    <n v="1"/>
    <m/>
    <m/>
    <x v="3"/>
  </r>
  <r>
    <n v="33"/>
    <x v="1"/>
    <s v="Travel_Rarely"/>
    <n v="536"/>
    <s v="Sales"/>
    <n v="10"/>
    <n v="5"/>
    <s v="Marketing"/>
    <n v="1"/>
    <n v="1268"/>
    <n v="4"/>
    <s v="Male"/>
    <n v="82"/>
    <n v="4"/>
    <x v="2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x v="0"/>
    <n v="8"/>
    <n v="1"/>
    <m/>
    <m/>
    <x v="0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x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x v="0"/>
    <n v="1"/>
    <n v="1"/>
    <m/>
    <m/>
    <x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x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x v="0"/>
    <n v="1"/>
    <n v="1"/>
    <m/>
    <m/>
    <x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x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x v="1"/>
    <n v="0"/>
    <n v="1"/>
    <m/>
    <m/>
    <x v="1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x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x v="3"/>
    <n v="2"/>
    <n v="1"/>
    <m/>
    <m/>
    <x v="0"/>
  </r>
  <r>
    <n v="45"/>
    <x v="0"/>
    <s v="Travel_Rarely"/>
    <n v="1449"/>
    <s v="Sales"/>
    <n v="2"/>
    <n v="3"/>
    <s v="Marketing"/>
    <n v="1"/>
    <n v="1277"/>
    <n v="1"/>
    <s v="Female"/>
    <n v="94"/>
    <n v="1"/>
    <x v="4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x v="1"/>
    <n v="11"/>
    <n v="1"/>
    <m/>
    <m/>
    <x v="3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x v="3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x v="9"/>
    <n v="0"/>
    <n v="1"/>
    <m/>
    <m/>
    <x v="3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x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x v="3"/>
    <n v="2"/>
    <n v="1"/>
    <m/>
    <m/>
    <x v="1"/>
  </r>
  <r>
    <n v="46"/>
    <x v="1"/>
    <s v="Travel_Rarely"/>
    <n v="168"/>
    <s v="Sales"/>
    <n v="4"/>
    <n v="2"/>
    <s v="Marketing"/>
    <n v="1"/>
    <n v="1280"/>
    <n v="4"/>
    <s v="Female"/>
    <n v="33"/>
    <n v="2"/>
    <x v="4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x v="0"/>
    <n v="8"/>
    <n v="1"/>
    <m/>
    <m/>
    <x v="4"/>
  </r>
  <r>
    <n v="34"/>
    <x v="1"/>
    <s v="Travel_Rarely"/>
    <n v="131"/>
    <s v="Sales"/>
    <n v="2"/>
    <n v="3"/>
    <s v="Marketing"/>
    <n v="1"/>
    <n v="1281"/>
    <n v="3"/>
    <s v="Female"/>
    <n v="86"/>
    <n v="3"/>
    <x v="0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x v="0"/>
    <n v="2"/>
    <n v="1"/>
    <m/>
    <m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x v="4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x v="14"/>
    <n v="10"/>
    <n v="1"/>
    <m/>
    <m/>
    <x v="3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x v="2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x v="8"/>
    <n v="4"/>
    <n v="1"/>
    <m/>
    <m/>
    <x v="0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x v="0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x v="8"/>
    <n v="10"/>
    <n v="1"/>
    <m/>
    <m/>
    <x v="4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x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x v="0"/>
    <n v="2"/>
    <n v="1"/>
    <m/>
    <m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x v="4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x v="15"/>
    <n v="13"/>
    <n v="1"/>
    <m/>
    <m/>
    <x v="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x v="0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x v="1"/>
    <n v="8"/>
    <n v="1"/>
    <m/>
    <m/>
    <x v="0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x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x v="3"/>
    <n v="2"/>
    <n v="1"/>
    <m/>
    <m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x v="0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x v="0"/>
    <n v="0"/>
    <n v="1"/>
    <m/>
    <m/>
    <x v="1"/>
  </r>
  <r>
    <n v="43"/>
    <x v="1"/>
    <s v="Travel_Rarely"/>
    <n v="531"/>
    <s v="Sales"/>
    <n v="4"/>
    <n v="4"/>
    <s v="Marketing"/>
    <n v="1"/>
    <n v="1293"/>
    <n v="4"/>
    <s v="Female"/>
    <n v="56"/>
    <n v="2"/>
    <x v="2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x v="9"/>
    <n v="17"/>
    <n v="1"/>
    <m/>
    <m/>
    <x v="3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x v="0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x v="8"/>
    <n v="12"/>
    <n v="1"/>
    <m/>
    <m/>
    <x v="5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x v="2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x v="0"/>
    <n v="5"/>
    <n v="1"/>
    <m/>
    <m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x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x v="3"/>
    <n v="2"/>
    <n v="1"/>
    <m/>
    <m/>
    <x v="1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x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x v="4"/>
    <n v="7"/>
    <n v="1"/>
    <m/>
    <m/>
    <x v="0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x v="0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x v="1"/>
    <n v="7"/>
    <n v="1"/>
    <m/>
    <m/>
    <x v="0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x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x v="4"/>
    <n v="7"/>
    <n v="1"/>
    <m/>
    <m/>
    <x v="0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x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x v="1"/>
    <n v="2"/>
    <n v="1"/>
    <m/>
    <m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x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x v="3"/>
    <n v="1"/>
    <n v="1"/>
    <m/>
    <m/>
    <x v="1"/>
  </r>
  <r>
    <n v="32"/>
    <x v="1"/>
    <s v="Travel_Rarely"/>
    <n v="604"/>
    <s v="Sales"/>
    <n v="8"/>
    <n v="3"/>
    <s v="Medical"/>
    <n v="1"/>
    <n v="1304"/>
    <n v="3"/>
    <s v="Male"/>
    <n v="56"/>
    <n v="4"/>
    <x v="0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x v="0"/>
    <n v="8"/>
    <n v="1"/>
    <m/>
    <m/>
    <x v="0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x v="4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x v="0"/>
    <n v="0"/>
    <n v="1"/>
    <m/>
    <m/>
    <x v="1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x v="3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x v="9"/>
    <n v="2"/>
    <n v="1"/>
    <m/>
    <m/>
    <x v="5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x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x v="3"/>
    <n v="2"/>
    <n v="1"/>
    <m/>
    <m/>
    <x v="1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x v="0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x v="1"/>
    <n v="1"/>
    <n v="1"/>
    <m/>
    <m/>
    <x v="0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x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x v="0"/>
    <n v="3"/>
    <n v="1"/>
    <m/>
    <m/>
    <x v="2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x v="0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x v="7"/>
    <n v="7"/>
    <n v="1"/>
    <m/>
    <m/>
    <x v="0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x v="2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x v="1"/>
    <n v="7"/>
    <n v="1"/>
    <m/>
    <m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x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x v="8"/>
    <n v="7"/>
    <n v="1"/>
    <m/>
    <m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x v="0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x v="4"/>
    <n v="5"/>
    <n v="1"/>
    <m/>
    <m/>
    <x v="0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x v="3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x v="1"/>
    <n v="2"/>
    <n v="1"/>
    <m/>
    <m/>
    <x v="2"/>
  </r>
  <r>
    <n v="40"/>
    <x v="0"/>
    <s v="Travel_Rarely"/>
    <n v="299"/>
    <s v="Sales"/>
    <n v="25"/>
    <n v="4"/>
    <s v="Marketing"/>
    <n v="1"/>
    <n v="1318"/>
    <n v="4"/>
    <s v="Male"/>
    <n v="57"/>
    <n v="2"/>
    <x v="2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x v="1"/>
    <n v="0"/>
    <n v="1"/>
    <m/>
    <m/>
    <x v="2"/>
  </r>
  <r>
    <n v="52"/>
    <x v="0"/>
    <s v="Travel_Rarely"/>
    <n v="1030"/>
    <s v="Sales"/>
    <n v="5"/>
    <n v="3"/>
    <s v="Life Sciences"/>
    <n v="1"/>
    <n v="1319"/>
    <n v="2"/>
    <s v="Male"/>
    <n v="64"/>
    <n v="3"/>
    <x v="2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x v="4"/>
    <n v="7"/>
    <n v="1"/>
    <m/>
    <m/>
    <x v="0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x v="2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x v="0"/>
    <n v="8"/>
    <n v="1"/>
    <m/>
    <m/>
    <x v="0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x v="0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x v="1"/>
    <n v="7"/>
    <n v="1"/>
    <m/>
    <m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x v="2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x v="10"/>
    <n v="6"/>
    <n v="1"/>
    <m/>
    <m/>
    <x v="0"/>
  </r>
  <r>
    <n v="41"/>
    <x v="1"/>
    <s v="Non-Travel"/>
    <n v="256"/>
    <s v="Sales"/>
    <n v="10"/>
    <n v="2"/>
    <s v="Medical"/>
    <n v="1"/>
    <n v="1329"/>
    <n v="3"/>
    <s v="Male"/>
    <n v="40"/>
    <n v="1"/>
    <x v="0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x v="14"/>
    <n v="9"/>
    <n v="1"/>
    <m/>
    <m/>
    <x v="5"/>
  </r>
  <r>
    <n v="31"/>
    <x v="0"/>
    <s v="Travel_Frequently"/>
    <n v="1060"/>
    <s v="Sales"/>
    <n v="1"/>
    <n v="3"/>
    <s v="Life Sciences"/>
    <n v="1"/>
    <n v="1331"/>
    <n v="4"/>
    <s v="Female"/>
    <n v="54"/>
    <n v="3"/>
    <x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x v="3"/>
    <n v="2"/>
    <n v="1"/>
    <m/>
    <m/>
    <x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x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x v="1"/>
    <n v="2"/>
    <n v="1"/>
    <m/>
    <m/>
    <x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x v="3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x v="3"/>
    <n v="10"/>
    <n v="1"/>
    <m/>
    <m/>
    <x v="5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x v="4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x v="10"/>
    <n v="11"/>
    <n v="1"/>
    <m/>
    <m/>
    <x v="5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x v="4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x v="4"/>
    <n v="7"/>
    <n v="1"/>
    <m/>
    <m/>
    <x v="0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x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x v="0"/>
    <n v="0"/>
    <n v="1"/>
    <m/>
    <m/>
    <x v="2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x v="2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x v="1"/>
    <n v="6"/>
    <n v="1"/>
    <m/>
    <m/>
    <x v="0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x v="0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x v="6"/>
    <n v="8"/>
    <n v="1"/>
    <m/>
    <m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x v="0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x v="1"/>
    <n v="7"/>
    <n v="1"/>
    <m/>
    <m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x v="0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x v="1"/>
    <n v="1"/>
    <n v="1"/>
    <m/>
    <m/>
    <x v="0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x v="3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x v="0"/>
    <n v="10"/>
    <n v="1"/>
    <m/>
    <m/>
    <x v="3"/>
  </r>
  <r>
    <n v="38"/>
    <x v="1"/>
    <s v="Travel_Rarely"/>
    <n v="1009"/>
    <s v="Sales"/>
    <n v="2"/>
    <n v="2"/>
    <s v="Life Sciences"/>
    <n v="1"/>
    <n v="1355"/>
    <n v="2"/>
    <s v="Female"/>
    <n v="31"/>
    <n v="3"/>
    <x v="0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x v="1"/>
    <n v="7"/>
    <n v="1"/>
    <m/>
    <m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x v="0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x v="10"/>
    <n v="6"/>
    <n v="1"/>
    <m/>
    <m/>
    <x v="0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x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x v="1"/>
    <n v="2"/>
    <n v="1"/>
    <m/>
    <m/>
    <x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x v="2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x v="8"/>
    <n v="9"/>
    <n v="1"/>
    <m/>
    <m/>
    <x v="0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x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x v="0"/>
    <n v="3"/>
    <n v="1"/>
    <m/>
    <m/>
    <x v="2"/>
  </r>
  <r>
    <n v="36"/>
    <x v="1"/>
    <s v="Travel_Frequently"/>
    <n v="607"/>
    <s v="Sales"/>
    <n v="7"/>
    <n v="3"/>
    <s v="Marketing"/>
    <n v="1"/>
    <n v="1362"/>
    <n v="1"/>
    <s v="Female"/>
    <n v="83"/>
    <n v="4"/>
    <x v="0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x v="7"/>
    <n v="13"/>
    <n v="1"/>
    <m/>
    <m/>
    <x v="4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x v="2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x v="0"/>
    <n v="8"/>
    <n v="1"/>
    <m/>
    <m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x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x v="0"/>
    <n v="0"/>
    <n v="1"/>
    <m/>
    <m/>
    <x v="1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x v="3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x v="0"/>
    <n v="3"/>
    <n v="1"/>
    <m/>
    <m/>
    <x v="2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x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x v="0"/>
    <n v="0"/>
    <n v="1"/>
    <m/>
    <m/>
    <x v="1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x v="0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x v="0"/>
    <n v="0"/>
    <n v="1"/>
    <m/>
    <m/>
    <x v="0"/>
  </r>
  <r>
    <n v="27"/>
    <x v="1"/>
    <s v="Travel_Frequently"/>
    <n v="793"/>
    <s v="Sales"/>
    <n v="2"/>
    <n v="1"/>
    <s v="Life Sciences"/>
    <n v="1"/>
    <n v="1371"/>
    <n v="4"/>
    <s v="Male"/>
    <n v="43"/>
    <n v="1"/>
    <x v="0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x v="0"/>
    <n v="0"/>
    <n v="1"/>
    <m/>
    <m/>
    <x v="0"/>
  </r>
  <r>
    <n v="55"/>
    <x v="0"/>
    <s v="Travel_Rarely"/>
    <n v="267"/>
    <s v="Sales"/>
    <n v="13"/>
    <n v="4"/>
    <s v="Marketing"/>
    <n v="1"/>
    <n v="1372"/>
    <n v="1"/>
    <s v="Male"/>
    <n v="85"/>
    <n v="4"/>
    <x v="3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x v="2"/>
    <n v="8"/>
    <n v="1"/>
    <m/>
    <m/>
    <x v="5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x v="3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x v="9"/>
    <n v="9"/>
    <n v="1"/>
    <m/>
    <m/>
    <x v="5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x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x v="0"/>
    <n v="0"/>
    <n v="1"/>
    <m/>
    <m/>
    <x v="2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x v="0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x v="14"/>
    <n v="8"/>
    <n v="1"/>
    <m/>
    <m/>
    <x v="4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x v="0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x v="4"/>
    <n v="7"/>
    <n v="1"/>
    <m/>
    <m/>
    <x v="0"/>
  </r>
  <r>
    <n v="31"/>
    <x v="0"/>
    <s v="Travel_Frequently"/>
    <n v="703"/>
    <s v="Sales"/>
    <n v="2"/>
    <n v="3"/>
    <s v="Life Sciences"/>
    <n v="1"/>
    <n v="1379"/>
    <n v="3"/>
    <s v="Female"/>
    <n v="90"/>
    <n v="2"/>
    <x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x v="0"/>
    <n v="0"/>
    <n v="1"/>
    <m/>
    <m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x v="0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x v="2"/>
    <n v="2"/>
    <n v="1"/>
    <m/>
    <m/>
    <x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x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x v="0"/>
    <n v="3"/>
    <n v="1"/>
    <m/>
    <m/>
    <x v="2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x v="0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x v="5"/>
    <n v="11"/>
    <n v="1"/>
    <m/>
    <m/>
    <x v="4"/>
  </r>
  <r>
    <n v="28"/>
    <x v="1"/>
    <s v="Travel_Rarely"/>
    <n v="736"/>
    <s v="Sales"/>
    <n v="26"/>
    <n v="3"/>
    <s v="Life Sciences"/>
    <n v="1"/>
    <n v="1387"/>
    <n v="3"/>
    <s v="Male"/>
    <n v="48"/>
    <n v="2"/>
    <x v="0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x v="0"/>
    <n v="4"/>
    <n v="1"/>
    <m/>
    <m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x v="0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x v="7"/>
    <n v="7"/>
    <n v="1"/>
    <m/>
    <m/>
    <x v="0"/>
  </r>
  <r>
    <n v="39"/>
    <x v="1"/>
    <s v="Travel_Rarely"/>
    <n v="1498"/>
    <s v="Sales"/>
    <n v="21"/>
    <n v="4"/>
    <s v="Life Sciences"/>
    <n v="1"/>
    <n v="1390"/>
    <n v="1"/>
    <s v="Male"/>
    <n v="44"/>
    <n v="2"/>
    <x v="0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x v="1"/>
    <n v="4"/>
    <n v="1"/>
    <m/>
    <m/>
    <x v="2"/>
  </r>
  <r>
    <n v="51"/>
    <x v="1"/>
    <s v="Travel_Frequently"/>
    <n v="541"/>
    <s v="Sales"/>
    <n v="2"/>
    <n v="3"/>
    <s v="Marketing"/>
    <n v="1"/>
    <n v="1391"/>
    <n v="2"/>
    <s v="Male"/>
    <n v="52"/>
    <n v="3"/>
    <x v="2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x v="2"/>
    <n v="2"/>
    <n v="1"/>
    <m/>
    <m/>
    <x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x v="0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x v="2"/>
    <n v="3"/>
    <n v="1"/>
    <m/>
    <m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x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x v="1"/>
    <n v="3"/>
    <n v="1"/>
    <m/>
    <m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x v="0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x v="1"/>
    <n v="2"/>
    <n v="1"/>
    <m/>
    <m/>
    <x v="2"/>
  </r>
  <r>
    <n v="32"/>
    <x v="1"/>
    <s v="Travel_Rarely"/>
    <n v="499"/>
    <s v="Sales"/>
    <n v="2"/>
    <n v="1"/>
    <s v="Marketing"/>
    <n v="1"/>
    <n v="1396"/>
    <n v="3"/>
    <s v="Male"/>
    <n v="36"/>
    <n v="3"/>
    <x v="0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x v="1"/>
    <n v="2"/>
    <n v="1"/>
    <m/>
    <m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x v="2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x v="0"/>
    <n v="5"/>
    <n v="1"/>
    <m/>
    <m/>
    <x v="0"/>
  </r>
  <r>
    <n v="25"/>
    <x v="1"/>
    <s v="Travel_Rarely"/>
    <n v="1372"/>
    <s v="Sales"/>
    <n v="18"/>
    <n v="1"/>
    <s v="Life Sciences"/>
    <n v="1"/>
    <n v="1399"/>
    <n v="1"/>
    <s v="Male"/>
    <n v="93"/>
    <n v="4"/>
    <x v="0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x v="1"/>
    <n v="2"/>
    <n v="1"/>
    <m/>
    <m/>
    <x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x v="3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x v="0"/>
    <n v="2"/>
    <n v="1"/>
    <m/>
    <m/>
    <x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x v="0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x v="1"/>
    <n v="8"/>
    <n v="1"/>
    <m/>
    <m/>
    <x v="5"/>
  </r>
  <r>
    <n v="27"/>
    <x v="1"/>
    <s v="Travel_Rarely"/>
    <n v="205"/>
    <s v="Sales"/>
    <n v="10"/>
    <n v="3"/>
    <s v="Marketing"/>
    <n v="1"/>
    <n v="1403"/>
    <n v="4"/>
    <s v="Female"/>
    <n v="98"/>
    <n v="2"/>
    <x v="0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x v="5"/>
    <n v="4"/>
    <n v="1"/>
    <m/>
    <m/>
    <x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x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x v="4"/>
    <n v="7"/>
    <n v="1"/>
    <m/>
    <m/>
    <x v="0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x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x v="1"/>
    <n v="1"/>
    <n v="1"/>
    <m/>
    <m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x v="3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x v="0"/>
    <n v="9"/>
    <n v="1"/>
    <m/>
    <m/>
    <x v="5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x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x v="0"/>
    <n v="4"/>
    <n v="1"/>
    <m/>
    <m/>
    <x v="2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x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x v="0"/>
    <n v="2"/>
    <n v="1"/>
    <m/>
    <m/>
    <x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x v="2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x v="3"/>
    <n v="2"/>
    <n v="1"/>
    <m/>
    <m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x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x v="0"/>
    <n v="2"/>
    <n v="1"/>
    <m/>
    <m/>
    <x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x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x v="0"/>
    <n v="7"/>
    <n v="1"/>
    <m/>
    <m/>
    <x v="0"/>
  </r>
  <r>
    <n v="29"/>
    <x v="1"/>
    <s v="Travel_Rarely"/>
    <n v="332"/>
    <s v="Human Resources"/>
    <n v="17"/>
    <n v="3"/>
    <s v="Other"/>
    <n v="1"/>
    <n v="1419"/>
    <n v="2"/>
    <s v="Male"/>
    <n v="51"/>
    <n v="2"/>
    <x v="2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x v="0"/>
    <n v="9"/>
    <n v="1"/>
    <m/>
    <m/>
    <x v="0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x v="0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x v="1"/>
    <n v="3"/>
    <n v="1"/>
    <m/>
    <m/>
    <x v="2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x v="2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x v="4"/>
    <n v="7"/>
    <n v="1"/>
    <m/>
    <m/>
    <x v="0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x v="3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x v="12"/>
    <n v="7"/>
    <n v="1"/>
    <m/>
    <m/>
    <x v="5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x v="4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x v="1"/>
    <n v="5"/>
    <n v="1"/>
    <m/>
    <m/>
    <x v="0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x v="3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x v="0"/>
    <n v="0"/>
    <n v="1"/>
    <m/>
    <m/>
    <x v="0"/>
  </r>
  <r>
    <n v="36"/>
    <x v="1"/>
    <s v="Travel_Rarely"/>
    <n v="1174"/>
    <s v="Sales"/>
    <n v="3"/>
    <n v="4"/>
    <s v="Marketing"/>
    <n v="1"/>
    <n v="1425"/>
    <n v="1"/>
    <s v="Female"/>
    <n v="99"/>
    <n v="3"/>
    <x v="0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x v="0"/>
    <n v="1"/>
    <n v="1"/>
    <m/>
    <m/>
    <x v="2"/>
  </r>
  <r>
    <n v="31"/>
    <x v="0"/>
    <s v="Travel_Frequently"/>
    <n v="667"/>
    <s v="Sales"/>
    <n v="1"/>
    <n v="4"/>
    <s v="Life Sciences"/>
    <n v="1"/>
    <n v="1427"/>
    <n v="2"/>
    <s v="Female"/>
    <n v="50"/>
    <n v="1"/>
    <x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x v="0"/>
    <n v="0"/>
    <n v="1"/>
    <m/>
    <m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x v="0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x v="0"/>
    <n v="2"/>
    <n v="1"/>
    <m/>
    <m/>
    <x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x v="3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x v="1"/>
    <n v="0"/>
    <n v="1"/>
    <m/>
    <m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x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x v="1"/>
    <n v="3"/>
    <n v="1"/>
    <m/>
    <m/>
    <x v="2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x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x v="0"/>
    <n v="0"/>
    <n v="1"/>
    <m/>
    <m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x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x v="1"/>
    <n v="4"/>
    <n v="1"/>
    <m/>
    <m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x v="0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x v="1"/>
    <n v="8"/>
    <n v="1"/>
    <m/>
    <m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x v="0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x v="0"/>
    <n v="2"/>
    <n v="1"/>
    <m/>
    <m/>
    <x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x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x v="1"/>
    <n v="2"/>
    <n v="1"/>
    <m/>
    <m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x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x v="3"/>
    <n v="2"/>
    <n v="1"/>
    <m/>
    <m/>
    <x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x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x v="1"/>
    <n v="3"/>
    <n v="1"/>
    <m/>
    <m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x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x v="1"/>
    <n v="0"/>
    <n v="1"/>
    <m/>
    <m/>
    <x v="2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x v="3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x v="8"/>
    <n v="6"/>
    <n v="1"/>
    <m/>
    <m/>
    <x v="5"/>
  </r>
  <r>
    <n v="24"/>
    <x v="1"/>
    <s v="Travel_Rarely"/>
    <n v="1476"/>
    <s v="Sales"/>
    <n v="4"/>
    <n v="1"/>
    <s v="Medical"/>
    <n v="1"/>
    <n v="1445"/>
    <n v="4"/>
    <s v="Female"/>
    <n v="42"/>
    <n v="3"/>
    <x v="0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x v="0"/>
    <n v="3"/>
    <n v="1"/>
    <m/>
    <m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x v="0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x v="0"/>
    <n v="3"/>
    <n v="1"/>
    <m/>
    <m/>
    <x v="2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x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x v="0"/>
    <n v="2"/>
    <n v="1"/>
    <m/>
    <m/>
    <x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x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x v="0"/>
    <n v="3"/>
    <n v="1"/>
    <m/>
    <m/>
    <x v="2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x v="0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x v="0"/>
    <n v="7"/>
    <n v="1"/>
    <m/>
    <m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x v="2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x v="10"/>
    <n v="9"/>
    <n v="1"/>
    <m/>
    <m/>
    <x v="4"/>
  </r>
  <r>
    <n v="46"/>
    <x v="0"/>
    <s v="Travel_Rarely"/>
    <n v="377"/>
    <s v="Sales"/>
    <n v="9"/>
    <n v="3"/>
    <s v="Marketing"/>
    <n v="1"/>
    <n v="1457"/>
    <n v="1"/>
    <s v="Male"/>
    <n v="52"/>
    <n v="3"/>
    <x v="2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x v="5"/>
    <n v="3"/>
    <n v="1"/>
    <m/>
    <m/>
    <x v="0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x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x v="0"/>
    <n v="0"/>
    <n v="1"/>
    <m/>
    <m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x v="2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x v="5"/>
    <n v="7"/>
    <n v="1"/>
    <m/>
    <m/>
    <x v="0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x v="2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x v="0"/>
    <n v="7"/>
    <n v="1"/>
    <m/>
    <m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x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x v="0"/>
    <n v="2"/>
    <n v="1"/>
    <m/>
    <m/>
    <x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x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x v="3"/>
    <n v="2"/>
    <n v="1"/>
    <m/>
    <m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x v="2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x v="1"/>
    <n v="2"/>
    <n v="1"/>
    <m/>
    <m/>
    <x v="2"/>
  </r>
  <r>
    <n v="48"/>
    <x v="1"/>
    <s v="Travel_Rarely"/>
    <n v="1221"/>
    <s v="Sales"/>
    <n v="7"/>
    <n v="3"/>
    <s v="Marketing"/>
    <n v="1"/>
    <n v="1466"/>
    <n v="3"/>
    <s v="Male"/>
    <n v="96"/>
    <n v="3"/>
    <x v="0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x v="3"/>
    <n v="2"/>
    <n v="1"/>
    <m/>
    <m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x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x v="3"/>
    <n v="2"/>
    <n v="1"/>
    <m/>
    <m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x v="2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x v="5"/>
    <n v="8"/>
    <n v="1"/>
    <m/>
    <m/>
    <x v="0"/>
  </r>
  <r>
    <n v="28"/>
    <x v="1"/>
    <s v="Travel_Rarely"/>
    <n v="866"/>
    <s v="Sales"/>
    <n v="5"/>
    <n v="3"/>
    <s v="Medical"/>
    <n v="1"/>
    <n v="1469"/>
    <n v="4"/>
    <s v="Male"/>
    <n v="84"/>
    <n v="3"/>
    <x v="0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x v="1"/>
    <n v="3"/>
    <n v="1"/>
    <m/>
    <m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x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x v="0"/>
    <n v="3"/>
    <n v="1"/>
    <m/>
    <m/>
    <x v="2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x v="3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x v="6"/>
    <n v="8"/>
    <n v="1"/>
    <m/>
    <m/>
    <x v="0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x v="0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x v="1"/>
    <n v="2"/>
    <n v="1"/>
    <m/>
    <m/>
    <x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x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x v="1"/>
    <n v="2"/>
    <n v="1"/>
    <m/>
    <m/>
    <x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x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x v="1"/>
    <n v="3"/>
    <n v="1"/>
    <m/>
    <m/>
    <x v="2"/>
  </r>
  <r>
    <n v="33"/>
    <x v="1"/>
    <s v="Travel_Frequently"/>
    <n v="430"/>
    <s v="Sales"/>
    <n v="7"/>
    <n v="3"/>
    <s v="Medical"/>
    <n v="1"/>
    <n v="1477"/>
    <n v="4"/>
    <s v="Male"/>
    <n v="54"/>
    <n v="3"/>
    <x v="0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x v="0"/>
    <n v="3"/>
    <n v="1"/>
    <m/>
    <m/>
    <x v="2"/>
  </r>
  <r>
    <n v="34"/>
    <x v="1"/>
    <s v="Travel_Rarely"/>
    <n v="1326"/>
    <s v="Sales"/>
    <n v="3"/>
    <n v="3"/>
    <s v="Other"/>
    <n v="1"/>
    <n v="1478"/>
    <n v="4"/>
    <s v="Male"/>
    <n v="81"/>
    <n v="1"/>
    <x v="0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x v="2"/>
    <n v="12"/>
    <n v="1"/>
    <m/>
    <m/>
    <x v="4"/>
  </r>
  <r>
    <n v="30"/>
    <x v="1"/>
    <s v="Travel_Rarely"/>
    <n v="1358"/>
    <s v="Sales"/>
    <n v="16"/>
    <n v="1"/>
    <s v="Life Sciences"/>
    <n v="1"/>
    <n v="1479"/>
    <n v="4"/>
    <s v="Male"/>
    <n v="96"/>
    <n v="3"/>
    <x v="0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x v="3"/>
    <n v="2"/>
    <n v="1"/>
    <m/>
    <m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x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x v="8"/>
    <n v="8"/>
    <n v="1"/>
    <m/>
    <m/>
    <x v="4"/>
  </r>
  <r>
    <n v="44"/>
    <x v="1"/>
    <s v="Travel_Frequently"/>
    <n v="383"/>
    <s v="Sales"/>
    <n v="1"/>
    <n v="5"/>
    <s v="Marketing"/>
    <n v="1"/>
    <n v="1481"/>
    <n v="1"/>
    <s v="Female"/>
    <n v="79"/>
    <n v="3"/>
    <x v="0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x v="0"/>
    <n v="0"/>
    <n v="1"/>
    <m/>
    <m/>
    <x v="1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x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x v="0"/>
    <n v="0"/>
    <n v="1"/>
    <m/>
    <m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x v="0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x v="3"/>
    <n v="8"/>
    <n v="1"/>
    <m/>
    <m/>
    <x v="4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x v="2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x v="0"/>
    <n v="7"/>
    <n v="1"/>
    <m/>
    <m/>
    <x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x v="3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x v="7"/>
    <n v="9"/>
    <n v="1"/>
    <m/>
    <m/>
    <x v="4"/>
  </r>
  <r>
    <n v="28"/>
    <x v="0"/>
    <s v="Travel_Frequently"/>
    <n v="1496"/>
    <s v="Sales"/>
    <n v="1"/>
    <n v="3"/>
    <s v="Technical Degree"/>
    <n v="1"/>
    <n v="1486"/>
    <n v="1"/>
    <s v="Male"/>
    <n v="92"/>
    <n v="3"/>
    <x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x v="1"/>
    <n v="2"/>
    <n v="1"/>
    <m/>
    <m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x v="0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x v="0"/>
    <n v="0"/>
    <n v="1"/>
    <m/>
    <m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x v="0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x v="13"/>
    <n v="10"/>
    <n v="1"/>
    <m/>
    <m/>
    <x v="4"/>
  </r>
  <r>
    <n v="35"/>
    <x v="1"/>
    <s v="Travel_Rarely"/>
    <n v="660"/>
    <s v="Sales"/>
    <n v="7"/>
    <n v="1"/>
    <s v="Life Sciences"/>
    <n v="1"/>
    <n v="1492"/>
    <n v="4"/>
    <s v="Male"/>
    <n v="76"/>
    <n v="3"/>
    <x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x v="0"/>
    <n v="0"/>
    <n v="1"/>
    <m/>
    <m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x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x v="0"/>
    <n v="0"/>
    <n v="1"/>
    <m/>
    <m/>
    <x v="1"/>
  </r>
  <r>
    <n v="24"/>
    <x v="1"/>
    <s v="Non-Travel"/>
    <n v="830"/>
    <s v="Sales"/>
    <n v="13"/>
    <n v="2"/>
    <s v="Life Sciences"/>
    <n v="1"/>
    <n v="1495"/>
    <n v="4"/>
    <s v="Female"/>
    <n v="78"/>
    <n v="3"/>
    <x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x v="0"/>
    <n v="0"/>
    <n v="1"/>
    <m/>
    <m/>
    <x v="1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x v="2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x v="3"/>
    <n v="2"/>
    <n v="1"/>
    <m/>
    <m/>
    <x v="1"/>
  </r>
  <r>
    <n v="29"/>
    <x v="1"/>
    <s v="Travel_Rarely"/>
    <n v="1246"/>
    <s v="Sales"/>
    <n v="19"/>
    <n v="3"/>
    <s v="Life Sciences"/>
    <n v="1"/>
    <n v="1497"/>
    <n v="3"/>
    <s v="Male"/>
    <n v="77"/>
    <n v="2"/>
    <x v="0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x v="0"/>
    <n v="4"/>
    <n v="1"/>
    <m/>
    <m/>
    <x v="0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x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x v="1"/>
    <n v="3"/>
    <n v="1"/>
    <m/>
    <m/>
    <x v="2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x v="0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x v="1"/>
    <n v="2"/>
    <n v="1"/>
    <m/>
    <m/>
    <x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x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x v="0"/>
    <n v="2"/>
    <n v="1"/>
    <m/>
    <m/>
    <x v="2"/>
  </r>
  <r>
    <n v="47"/>
    <x v="1"/>
    <s v="Travel_Rarely"/>
    <n v="571"/>
    <s v="Sales"/>
    <n v="14"/>
    <n v="3"/>
    <s v="Medical"/>
    <n v="1"/>
    <n v="1503"/>
    <n v="3"/>
    <s v="Female"/>
    <n v="78"/>
    <n v="3"/>
    <x v="0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x v="1"/>
    <n v="2"/>
    <n v="1"/>
    <m/>
    <m/>
    <x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x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x v="0"/>
    <n v="0"/>
    <n v="1"/>
    <m/>
    <m/>
    <x v="1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x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x v="0"/>
    <n v="0"/>
    <n v="1"/>
    <m/>
    <m/>
    <x v="1"/>
  </r>
  <r>
    <n v="28"/>
    <x v="1"/>
    <s v="Travel_Frequently"/>
    <n v="467"/>
    <s v="Sales"/>
    <n v="7"/>
    <n v="3"/>
    <s v="Life Sciences"/>
    <n v="1"/>
    <n v="1507"/>
    <n v="3"/>
    <s v="Male"/>
    <n v="55"/>
    <n v="3"/>
    <x v="0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x v="1"/>
    <n v="3"/>
    <n v="1"/>
    <m/>
    <m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x v="0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x v="1"/>
    <n v="2"/>
    <n v="1"/>
    <m/>
    <m/>
    <x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x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x v="0"/>
    <n v="2"/>
    <n v="1"/>
    <m/>
    <m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x v="0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x v="1"/>
    <n v="7"/>
    <n v="1"/>
    <m/>
    <m/>
    <x v="0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x v="0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x v="0"/>
    <n v="0"/>
    <n v="1"/>
    <m/>
    <m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x v="2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x v="0"/>
    <n v="0"/>
    <n v="1"/>
    <m/>
    <m/>
    <x v="2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x v="3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x v="1"/>
    <n v="12"/>
    <n v="1"/>
    <m/>
    <m/>
    <x v="4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x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x v="0"/>
    <n v="7"/>
    <n v="1"/>
    <m/>
    <m/>
    <x v="0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x v="3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x v="15"/>
    <n v="17"/>
    <n v="1"/>
    <m/>
    <m/>
    <x v="5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x v="2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x v="3"/>
    <n v="2"/>
    <n v="1"/>
    <m/>
    <m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x v="3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x v="8"/>
    <n v="1"/>
    <n v="1"/>
    <m/>
    <m/>
    <x v="4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x v="2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x v="2"/>
    <n v="3"/>
    <n v="1"/>
    <m/>
    <m/>
    <x v="4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x v="0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x v="1"/>
    <n v="2"/>
    <n v="1"/>
    <m/>
    <m/>
    <x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x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x v="1"/>
    <n v="0"/>
    <n v="1"/>
    <m/>
    <m/>
    <x v="2"/>
  </r>
  <r>
    <n v="34"/>
    <x v="1"/>
    <s v="Travel_Rarely"/>
    <n v="971"/>
    <s v="Sales"/>
    <n v="1"/>
    <n v="3"/>
    <s v="Technical Degree"/>
    <n v="1"/>
    <n v="1535"/>
    <n v="4"/>
    <s v="Male"/>
    <n v="64"/>
    <n v="2"/>
    <x v="2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x v="6"/>
    <n v="6"/>
    <n v="1"/>
    <m/>
    <m/>
    <x v="0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x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x v="4"/>
    <n v="7"/>
    <n v="1"/>
    <m/>
    <m/>
    <x v="0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x v="3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x v="11"/>
    <n v="9"/>
    <n v="1"/>
    <m/>
    <m/>
    <x v="3"/>
  </r>
  <r>
    <n v="34"/>
    <x v="1"/>
    <s v="Travel_Rarely"/>
    <n v="1440"/>
    <s v="Sales"/>
    <n v="7"/>
    <n v="2"/>
    <s v="Technical Degree"/>
    <n v="1"/>
    <n v="1541"/>
    <n v="2"/>
    <s v="Male"/>
    <n v="55"/>
    <n v="3"/>
    <x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x v="8"/>
    <n v="7"/>
    <n v="1"/>
    <m/>
    <m/>
    <x v="4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x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x v="0"/>
    <n v="0"/>
    <n v="1"/>
    <m/>
    <m/>
    <x v="1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x v="0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x v="2"/>
    <n v="7"/>
    <n v="1"/>
    <m/>
    <m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x v="0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x v="0"/>
    <n v="7"/>
    <n v="1"/>
    <m/>
    <m/>
    <x v="0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x v="0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x v="0"/>
    <n v="2"/>
    <n v="1"/>
    <m/>
    <m/>
    <x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x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x v="0"/>
    <n v="3"/>
    <n v="1"/>
    <m/>
    <m/>
    <x v="2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x v="2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x v="11"/>
    <n v="9"/>
    <n v="1"/>
    <m/>
    <m/>
    <x v="5"/>
  </r>
  <r>
    <n v="40"/>
    <x v="1"/>
    <s v="Travel_Rarely"/>
    <n v="1342"/>
    <s v="Sales"/>
    <n v="9"/>
    <n v="2"/>
    <s v="Medical"/>
    <n v="1"/>
    <n v="1548"/>
    <n v="1"/>
    <s v="Male"/>
    <n v="47"/>
    <n v="3"/>
    <x v="0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x v="4"/>
    <n v="1"/>
    <n v="1"/>
    <m/>
    <m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x v="0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x v="8"/>
    <n v="7"/>
    <n v="1"/>
    <m/>
    <m/>
    <x v="4"/>
  </r>
  <r>
    <n v="40"/>
    <x v="1"/>
    <s v="Travel_Rarely"/>
    <n v="898"/>
    <s v="Human Resources"/>
    <n v="6"/>
    <n v="2"/>
    <s v="Medical"/>
    <n v="1"/>
    <n v="1550"/>
    <n v="3"/>
    <s v="Male"/>
    <n v="38"/>
    <n v="3"/>
    <x v="3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x v="4"/>
    <n v="7"/>
    <n v="1"/>
    <m/>
    <m/>
    <x v="3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x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x v="0"/>
    <n v="0"/>
    <n v="1"/>
    <m/>
    <m/>
    <x v="1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x v="0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x v="3"/>
    <n v="2"/>
    <n v="1"/>
    <m/>
    <m/>
    <x v="1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x v="2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x v="4"/>
    <n v="7"/>
    <n v="1"/>
    <m/>
    <m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x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x v="5"/>
    <n v="2"/>
    <n v="1"/>
    <m/>
    <m/>
    <x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x v="0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x v="3"/>
    <n v="5"/>
    <n v="1"/>
    <m/>
    <m/>
    <x v="0"/>
  </r>
  <r>
    <n v="36"/>
    <x v="1"/>
    <s v="Travel_Rarely"/>
    <n v="1157"/>
    <s v="Sales"/>
    <n v="2"/>
    <n v="4"/>
    <s v="Life Sciences"/>
    <n v="1"/>
    <n v="1556"/>
    <n v="3"/>
    <s v="Male"/>
    <n v="70"/>
    <n v="3"/>
    <x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x v="1"/>
    <n v="2"/>
    <n v="1"/>
    <m/>
    <m/>
    <x v="2"/>
  </r>
  <r>
    <n v="48"/>
    <x v="1"/>
    <s v="Travel_Rarely"/>
    <n v="492"/>
    <s v="Sales"/>
    <n v="16"/>
    <n v="4"/>
    <s v="Life Sciences"/>
    <n v="1"/>
    <n v="1557"/>
    <n v="3"/>
    <s v="Female"/>
    <n v="96"/>
    <n v="3"/>
    <x v="0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x v="4"/>
    <n v="7"/>
    <n v="1"/>
    <m/>
    <m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x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x v="0"/>
    <n v="0"/>
    <n v="1"/>
    <m/>
    <m/>
    <x v="1"/>
  </r>
  <r>
    <n v="33"/>
    <x v="1"/>
    <s v="Travel_Rarely"/>
    <n v="1242"/>
    <s v="Sales"/>
    <n v="8"/>
    <n v="4"/>
    <s v="Life Sciences"/>
    <n v="1"/>
    <n v="1560"/>
    <n v="1"/>
    <s v="Male"/>
    <n v="46"/>
    <n v="3"/>
    <x v="0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x v="3"/>
    <n v="2"/>
    <n v="1"/>
    <m/>
    <m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x v="0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x v="7"/>
    <n v="7"/>
    <n v="1"/>
    <m/>
    <m/>
    <x v="0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x v="0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x v="1"/>
    <n v="2"/>
    <n v="1"/>
    <m/>
    <m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x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x v="1"/>
    <n v="2"/>
    <n v="1"/>
    <m/>
    <m/>
    <x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x v="2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x v="1"/>
    <n v="3"/>
    <n v="1"/>
    <m/>
    <m/>
    <x v="2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x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x v="0"/>
    <n v="0"/>
    <n v="1"/>
    <m/>
    <m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x v="2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x v="1"/>
    <n v="9"/>
    <n v="1"/>
    <m/>
    <m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x v="0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x v="1"/>
    <n v="4"/>
    <n v="1"/>
    <m/>
    <m/>
    <x v="2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x v="0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x v="1"/>
    <n v="2"/>
    <n v="1"/>
    <m/>
    <m/>
    <x v="0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x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x v="4"/>
    <n v="6"/>
    <n v="1"/>
    <m/>
    <m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x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x v="0"/>
    <n v="0"/>
    <n v="1"/>
    <m/>
    <m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x v="4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x v="3"/>
    <n v="13"/>
    <n v="1"/>
    <m/>
    <m/>
    <x v="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x v="0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x v="3"/>
    <n v="1"/>
    <n v="1"/>
    <m/>
    <m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x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x v="0"/>
    <n v="0"/>
    <n v="1"/>
    <m/>
    <m/>
    <x v="1"/>
  </r>
  <r>
    <n v="38"/>
    <x v="1"/>
    <s v="Travel_Rarely"/>
    <n v="1245"/>
    <s v="Sales"/>
    <n v="14"/>
    <n v="3"/>
    <s v="Life Sciences"/>
    <n v="1"/>
    <n v="1582"/>
    <n v="3"/>
    <s v="Male"/>
    <n v="80"/>
    <n v="3"/>
    <x v="0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x v="4"/>
    <n v="7"/>
    <n v="1"/>
    <m/>
    <m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x v="0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x v="1"/>
    <n v="2"/>
    <n v="1"/>
    <m/>
    <m/>
    <x v="2"/>
  </r>
  <r>
    <n v="36"/>
    <x v="1"/>
    <s v="Travel_Rarely"/>
    <n v="884"/>
    <s v="Sales"/>
    <n v="1"/>
    <n v="4"/>
    <s v="Life Sciences"/>
    <n v="1"/>
    <n v="1585"/>
    <n v="2"/>
    <s v="Female"/>
    <n v="73"/>
    <n v="3"/>
    <x v="0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x v="0"/>
    <n v="0"/>
    <n v="1"/>
    <m/>
    <m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x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x v="1"/>
    <n v="5"/>
    <n v="1"/>
    <m/>
    <m/>
    <x v="0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x v="0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x v="0"/>
    <n v="4"/>
    <n v="1"/>
    <m/>
    <m/>
    <x v="2"/>
  </r>
  <r>
    <n v="39"/>
    <x v="1"/>
    <s v="Travel_Rarely"/>
    <n v="1462"/>
    <s v="Sales"/>
    <n v="6"/>
    <n v="3"/>
    <s v="Medical"/>
    <n v="1"/>
    <n v="1588"/>
    <n v="4"/>
    <s v="Male"/>
    <n v="38"/>
    <n v="4"/>
    <x v="2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x v="4"/>
    <n v="6"/>
    <n v="1"/>
    <m/>
    <m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x v="0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x v="1"/>
    <n v="3"/>
    <n v="1"/>
    <m/>
    <m/>
    <x v="0"/>
  </r>
  <r>
    <n v="50"/>
    <x v="1"/>
    <s v="Travel_Rarely"/>
    <n v="264"/>
    <s v="Sales"/>
    <n v="9"/>
    <n v="3"/>
    <s v="Marketing"/>
    <n v="1"/>
    <n v="1591"/>
    <n v="3"/>
    <s v="Male"/>
    <n v="59"/>
    <n v="3"/>
    <x v="4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x v="0"/>
    <n v="0"/>
    <n v="1"/>
    <m/>
    <m/>
    <x v="1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x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x v="3"/>
    <n v="2"/>
    <n v="1"/>
    <m/>
    <m/>
    <x v="1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x v="0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x v="0"/>
    <n v="2"/>
    <n v="1"/>
    <m/>
    <m/>
    <x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x v="4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x v="0"/>
    <n v="1"/>
    <n v="1"/>
    <m/>
    <m/>
    <x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x v="0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x v="7"/>
    <n v="8"/>
    <n v="1"/>
    <m/>
    <m/>
    <x v="0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x v="0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x v="4"/>
    <n v="7"/>
    <n v="1"/>
    <m/>
    <m/>
    <x v="0"/>
  </r>
  <r>
    <n v="40"/>
    <x v="1"/>
    <s v="Travel_Rarely"/>
    <n v="118"/>
    <s v="Sales"/>
    <n v="14"/>
    <n v="2"/>
    <s v="Life Sciences"/>
    <n v="1"/>
    <n v="1598"/>
    <n v="4"/>
    <s v="Female"/>
    <n v="84"/>
    <n v="3"/>
    <x v="0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x v="1"/>
    <n v="2"/>
    <n v="1"/>
    <m/>
    <m/>
    <x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x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x v="0"/>
    <n v="2"/>
    <n v="1"/>
    <m/>
    <m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x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x v="0"/>
    <n v="1"/>
    <n v="1"/>
    <m/>
    <m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x v="3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x v="0"/>
    <n v="12"/>
    <n v="1"/>
    <m/>
    <m/>
    <x v="3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x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x v="0"/>
    <n v="0"/>
    <n v="1"/>
    <m/>
    <m/>
    <x v="1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x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x v="1"/>
    <n v="3"/>
    <n v="1"/>
    <m/>
    <m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x v="3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x v="12"/>
    <n v="13"/>
    <n v="1"/>
    <m/>
    <m/>
    <x v="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x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x v="0"/>
    <n v="2"/>
    <n v="1"/>
    <m/>
    <m/>
    <x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x v="4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x v="1"/>
    <n v="10"/>
    <n v="1"/>
    <m/>
    <m/>
    <x v="3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x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x v="1"/>
    <n v="1"/>
    <n v="1"/>
    <m/>
    <m/>
    <x v="0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x v="0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x v="1"/>
    <n v="4"/>
    <n v="1"/>
    <m/>
    <m/>
    <x v="0"/>
  </r>
  <r>
    <n v="45"/>
    <x v="1"/>
    <s v="Non-Travel"/>
    <n v="336"/>
    <s v="Sales"/>
    <n v="26"/>
    <n v="3"/>
    <s v="Marketing"/>
    <n v="1"/>
    <n v="1612"/>
    <n v="1"/>
    <s v="Male"/>
    <n v="52"/>
    <n v="2"/>
    <x v="0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x v="5"/>
    <n v="5"/>
    <n v="1"/>
    <m/>
    <m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x v="0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x v="0"/>
    <n v="3"/>
    <n v="1"/>
    <m/>
    <m/>
    <x v="2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x v="0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x v="1"/>
    <n v="1"/>
    <n v="1"/>
    <m/>
    <m/>
    <x v="2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x v="0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x v="4"/>
    <n v="2"/>
    <n v="1"/>
    <m/>
    <m/>
    <x v="0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x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x v="1"/>
    <n v="4"/>
    <n v="1"/>
    <m/>
    <m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x v="0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x v="4"/>
    <n v="7"/>
    <n v="1"/>
    <m/>
    <m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x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x v="0"/>
    <n v="7"/>
    <n v="1"/>
    <m/>
    <m/>
    <x v="0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x v="0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x v="1"/>
    <n v="10"/>
    <n v="1"/>
    <m/>
    <m/>
    <x v="5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x v="0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x v="0"/>
    <n v="0"/>
    <n v="1"/>
    <m/>
    <m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x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x v="3"/>
    <n v="2"/>
    <n v="1"/>
    <m/>
    <m/>
    <x v="1"/>
  </r>
  <r>
    <n v="18"/>
    <x v="0"/>
    <s v="Travel_Frequently"/>
    <n v="544"/>
    <s v="Sales"/>
    <n v="3"/>
    <n v="2"/>
    <s v="Medical"/>
    <n v="1"/>
    <n v="1624"/>
    <n v="2"/>
    <s v="Female"/>
    <n v="70"/>
    <n v="3"/>
    <x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x v="0"/>
    <n v="0"/>
    <n v="1"/>
    <m/>
    <m/>
    <x v="1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x v="4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x v="1"/>
    <n v="0"/>
    <n v="1"/>
    <m/>
    <m/>
    <x v="2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x v="0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x v="0"/>
    <n v="7"/>
    <n v="1"/>
    <m/>
    <m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x v="2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x v="15"/>
    <n v="12"/>
    <n v="1"/>
    <m/>
    <m/>
    <x v="5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x v="0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x v="3"/>
    <n v="9"/>
    <n v="1"/>
    <m/>
    <m/>
    <x v="4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x v="0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x v="0"/>
    <n v="2"/>
    <n v="1"/>
    <m/>
    <m/>
    <x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x v="0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x v="2"/>
    <n v="8"/>
    <n v="1"/>
    <m/>
    <m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x v="0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x v="2"/>
    <n v="9"/>
    <n v="1"/>
    <m/>
    <m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x v="2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x v="0"/>
    <n v="2"/>
    <n v="1"/>
    <m/>
    <m/>
    <x v="2"/>
  </r>
  <r>
    <n v="35"/>
    <x v="0"/>
    <s v="Travel_Rarely"/>
    <n v="737"/>
    <s v="Sales"/>
    <n v="10"/>
    <n v="3"/>
    <s v="Medical"/>
    <n v="1"/>
    <n v="1639"/>
    <n v="4"/>
    <s v="Male"/>
    <n v="55"/>
    <n v="2"/>
    <x v="2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x v="7"/>
    <n v="0"/>
    <n v="1"/>
    <m/>
    <m/>
    <x v="4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x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x v="4"/>
    <n v="7"/>
    <n v="1"/>
    <m/>
    <m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x v="2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x v="2"/>
    <n v="3"/>
    <n v="1"/>
    <m/>
    <m/>
    <x v="2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x v="0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x v="0"/>
    <n v="2"/>
    <n v="1"/>
    <m/>
    <m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x v="3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x v="3"/>
    <n v="2"/>
    <n v="1"/>
    <m/>
    <m/>
    <x v="1"/>
  </r>
  <r>
    <n v="35"/>
    <x v="0"/>
    <s v="Travel_Rarely"/>
    <n v="763"/>
    <s v="Sales"/>
    <n v="15"/>
    <n v="2"/>
    <s v="Medical"/>
    <n v="1"/>
    <n v="1645"/>
    <n v="1"/>
    <s v="Male"/>
    <n v="59"/>
    <n v="1"/>
    <x v="0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x v="3"/>
    <n v="2"/>
    <n v="1"/>
    <m/>
    <m/>
    <x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x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x v="1"/>
    <n v="3"/>
    <n v="1"/>
    <m/>
    <m/>
    <x v="0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x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x v="0"/>
    <n v="2"/>
    <n v="1"/>
    <m/>
    <m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x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x v="1"/>
    <n v="2"/>
    <n v="1"/>
    <m/>
    <m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x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x v="0"/>
    <n v="3"/>
    <n v="1"/>
    <m/>
    <m/>
    <x v="2"/>
  </r>
  <r>
    <n v="29"/>
    <x v="1"/>
    <s v="Travel_Rarely"/>
    <n v="469"/>
    <s v="Sales"/>
    <n v="10"/>
    <n v="3"/>
    <s v="Medical"/>
    <n v="1"/>
    <n v="1650"/>
    <n v="3"/>
    <s v="Male"/>
    <n v="42"/>
    <n v="2"/>
    <x v="0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x v="1"/>
    <n v="4"/>
    <n v="1"/>
    <m/>
    <m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x v="2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x v="0"/>
    <n v="2"/>
    <n v="1"/>
    <m/>
    <m/>
    <x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x v="0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x v="0"/>
    <n v="7"/>
    <n v="1"/>
    <m/>
    <m/>
    <x v="0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x v="0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x v="1"/>
    <n v="0"/>
    <n v="1"/>
    <m/>
    <m/>
    <x v="2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x v="3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x v="1"/>
    <n v="2"/>
    <n v="1"/>
    <m/>
    <m/>
    <x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x v="2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x v="1"/>
    <n v="11"/>
    <n v="1"/>
    <m/>
    <m/>
    <x v="4"/>
  </r>
  <r>
    <n v="20"/>
    <x v="1"/>
    <s v="Travel_Rarely"/>
    <n v="1141"/>
    <s v="Sales"/>
    <n v="2"/>
    <n v="3"/>
    <s v="Medical"/>
    <n v="1"/>
    <n v="1657"/>
    <n v="3"/>
    <s v="Female"/>
    <n v="31"/>
    <n v="3"/>
    <x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x v="3"/>
    <n v="2"/>
    <n v="1"/>
    <m/>
    <m/>
    <x v="1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x v="0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x v="4"/>
    <n v="9"/>
    <n v="1"/>
    <m/>
    <m/>
    <x v="4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x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x v="1"/>
    <n v="3"/>
    <n v="1"/>
    <m/>
    <m/>
    <x v="2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x v="3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x v="3"/>
    <n v="12"/>
    <n v="1"/>
    <m/>
    <m/>
    <x v="4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x v="0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x v="1"/>
    <n v="2"/>
    <n v="1"/>
    <m/>
    <m/>
    <x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x v="0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x v="0"/>
    <n v="4"/>
    <n v="1"/>
    <m/>
    <m/>
    <x v="2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x v="3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x v="5"/>
    <n v="7"/>
    <n v="1"/>
    <m/>
    <m/>
    <x v="0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x v="3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x v="7"/>
    <n v="11"/>
    <n v="1"/>
    <m/>
    <m/>
    <x v="4"/>
  </r>
  <r>
    <n v="35"/>
    <x v="0"/>
    <s v="Travel_Frequently"/>
    <n v="880"/>
    <s v="Sales"/>
    <n v="12"/>
    <n v="4"/>
    <s v="Other"/>
    <n v="1"/>
    <n v="1667"/>
    <n v="4"/>
    <s v="Male"/>
    <n v="36"/>
    <n v="3"/>
    <x v="0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x v="7"/>
    <n v="7"/>
    <n v="1"/>
    <m/>
    <m/>
    <x v="4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x v="0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x v="3"/>
    <n v="9"/>
    <n v="1"/>
    <m/>
    <m/>
    <x v="4"/>
  </r>
  <r>
    <n v="29"/>
    <x v="1"/>
    <s v="Travel_Rarely"/>
    <n v="991"/>
    <s v="Sales"/>
    <n v="5"/>
    <n v="3"/>
    <s v="Medical"/>
    <n v="1"/>
    <n v="1669"/>
    <n v="1"/>
    <s v="Male"/>
    <n v="43"/>
    <n v="2"/>
    <x v="0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x v="0"/>
    <n v="9"/>
    <n v="1"/>
    <m/>
    <m/>
    <x v="0"/>
  </r>
  <r>
    <n v="33"/>
    <x v="1"/>
    <s v="Travel_Rarely"/>
    <n v="392"/>
    <s v="Sales"/>
    <n v="2"/>
    <n v="4"/>
    <s v="Medical"/>
    <n v="1"/>
    <n v="1670"/>
    <n v="4"/>
    <s v="Male"/>
    <n v="93"/>
    <n v="3"/>
    <x v="0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x v="0"/>
    <n v="4"/>
    <n v="1"/>
    <m/>
    <m/>
    <x v="0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x v="0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x v="1"/>
    <n v="6"/>
    <n v="1"/>
    <m/>
    <m/>
    <x v="0"/>
  </r>
  <r>
    <n v="31"/>
    <x v="1"/>
    <s v="Travel_Rarely"/>
    <n v="1112"/>
    <s v="Sales"/>
    <n v="5"/>
    <n v="4"/>
    <s v="Life Sciences"/>
    <n v="1"/>
    <n v="1673"/>
    <n v="1"/>
    <s v="Female"/>
    <n v="67"/>
    <n v="3"/>
    <x v="0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x v="0"/>
    <n v="2"/>
    <n v="1"/>
    <m/>
    <m/>
    <x v="0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x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x v="3"/>
    <n v="2"/>
    <n v="1"/>
    <m/>
    <m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x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x v="2"/>
    <n v="3"/>
    <n v="1"/>
    <m/>
    <m/>
    <x v="2"/>
  </r>
  <r>
    <n v="47"/>
    <x v="1"/>
    <s v="Travel_Rarely"/>
    <n v="1225"/>
    <s v="Sales"/>
    <n v="2"/>
    <n v="4"/>
    <s v="Life Sciences"/>
    <n v="1"/>
    <n v="1676"/>
    <n v="2"/>
    <s v="Female"/>
    <n v="47"/>
    <n v="4"/>
    <x v="3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x v="1"/>
    <n v="2"/>
    <n v="1"/>
    <m/>
    <m/>
    <x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x v="3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x v="0"/>
    <n v="0"/>
    <n v="1"/>
    <m/>
    <m/>
    <x v="0"/>
  </r>
  <r>
    <n v="41"/>
    <x v="1"/>
    <s v="Travel_Rarely"/>
    <n v="1206"/>
    <s v="Sales"/>
    <n v="23"/>
    <n v="2"/>
    <s v="Life Sciences"/>
    <n v="1"/>
    <n v="1678"/>
    <n v="4"/>
    <s v="Male"/>
    <n v="80"/>
    <n v="3"/>
    <x v="2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x v="0"/>
    <n v="2"/>
    <n v="1"/>
    <m/>
    <m/>
    <x v="1"/>
  </r>
  <r>
    <n v="20"/>
    <x v="1"/>
    <s v="Travel_Rarely"/>
    <n v="727"/>
    <s v="Sales"/>
    <n v="9"/>
    <n v="1"/>
    <s v="Life Sciences"/>
    <n v="1"/>
    <n v="1680"/>
    <n v="4"/>
    <s v="Male"/>
    <n v="54"/>
    <n v="3"/>
    <x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x v="0"/>
    <n v="2"/>
    <n v="1"/>
    <m/>
    <m/>
    <x v="1"/>
  </r>
  <r>
    <n v="33"/>
    <x v="1"/>
    <s v="Non-Travel"/>
    <n v="530"/>
    <s v="Sales"/>
    <n v="16"/>
    <n v="3"/>
    <s v="Life Sciences"/>
    <n v="1"/>
    <n v="1681"/>
    <n v="3"/>
    <s v="Female"/>
    <n v="36"/>
    <n v="3"/>
    <x v="0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x v="1"/>
    <n v="2"/>
    <n v="1"/>
    <m/>
    <m/>
    <x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x v="0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x v="0"/>
    <n v="2"/>
    <n v="1"/>
    <m/>
    <m/>
    <x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x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x v="3"/>
    <n v="2"/>
    <n v="1"/>
    <m/>
    <m/>
    <x v="1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x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x v="1"/>
    <n v="2"/>
    <n v="1"/>
    <m/>
    <m/>
    <x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x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x v="0"/>
    <n v="0"/>
    <n v="1"/>
    <m/>
    <m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x v="2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x v="1"/>
    <n v="2"/>
    <n v="1"/>
    <m/>
    <m/>
    <x v="2"/>
  </r>
  <r>
    <n v="48"/>
    <x v="0"/>
    <s v="Travel_Frequently"/>
    <n v="708"/>
    <s v="Sales"/>
    <n v="7"/>
    <n v="2"/>
    <s v="Medical"/>
    <n v="1"/>
    <n v="1691"/>
    <n v="4"/>
    <s v="Female"/>
    <n v="95"/>
    <n v="3"/>
    <x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x v="4"/>
    <n v="7"/>
    <n v="1"/>
    <m/>
    <m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x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x v="0"/>
    <n v="0"/>
    <n v="1"/>
    <m/>
    <m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x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x v="8"/>
    <n v="7"/>
    <n v="1"/>
    <m/>
    <m/>
    <x v="0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x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x v="1"/>
    <n v="2"/>
    <n v="1"/>
    <m/>
    <m/>
    <x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x v="0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x v="5"/>
    <n v="13"/>
    <n v="1"/>
    <m/>
    <m/>
    <x v="4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x v="2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x v="0"/>
    <n v="0"/>
    <n v="1"/>
    <m/>
    <m/>
    <x v="1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x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x v="3"/>
    <n v="13"/>
    <n v="1"/>
    <m/>
    <m/>
    <x v="4"/>
  </r>
  <r>
    <n v="37"/>
    <x v="1"/>
    <s v="Travel_Frequently"/>
    <n v="1278"/>
    <s v="Sales"/>
    <n v="1"/>
    <n v="4"/>
    <s v="Medical"/>
    <n v="1"/>
    <n v="1700"/>
    <n v="3"/>
    <s v="Male"/>
    <n v="31"/>
    <n v="1"/>
    <x v="0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x v="1"/>
    <n v="3"/>
    <n v="1"/>
    <m/>
    <m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x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x v="6"/>
    <n v="7"/>
    <n v="1"/>
    <m/>
    <m/>
    <x v="0"/>
  </r>
  <r>
    <n v="23"/>
    <x v="0"/>
    <s v="Travel_Rarely"/>
    <n v="427"/>
    <s v="Sales"/>
    <n v="7"/>
    <n v="3"/>
    <s v="Life Sciences"/>
    <n v="1"/>
    <n v="1702"/>
    <n v="3"/>
    <s v="Male"/>
    <n v="99"/>
    <n v="3"/>
    <x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x v="0"/>
    <n v="2"/>
    <n v="1"/>
    <m/>
    <m/>
    <x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x v="2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x v="7"/>
    <n v="7"/>
    <n v="1"/>
    <m/>
    <m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x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x v="1"/>
    <n v="4"/>
    <n v="1"/>
    <m/>
    <m/>
    <x v="2"/>
  </r>
  <r>
    <n v="43"/>
    <x v="1"/>
    <s v="Travel_Rarely"/>
    <n v="1179"/>
    <s v="Sales"/>
    <n v="2"/>
    <n v="3"/>
    <s v="Medical"/>
    <n v="1"/>
    <n v="1706"/>
    <n v="4"/>
    <s v="Male"/>
    <n v="73"/>
    <n v="3"/>
    <x v="0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x v="6"/>
    <n v="8"/>
    <n v="1"/>
    <m/>
    <m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x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x v="0"/>
    <n v="4"/>
    <n v="1"/>
    <m/>
    <m/>
    <x v="2"/>
  </r>
  <r>
    <n v="41"/>
    <x v="1"/>
    <s v="Travel_Rarely"/>
    <n v="918"/>
    <s v="Sales"/>
    <n v="6"/>
    <n v="3"/>
    <s v="Marketing"/>
    <n v="1"/>
    <n v="1708"/>
    <n v="4"/>
    <s v="Male"/>
    <n v="35"/>
    <n v="3"/>
    <x v="2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x v="6"/>
    <n v="7"/>
    <n v="1"/>
    <m/>
    <m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x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x v="1"/>
    <n v="2"/>
    <n v="1"/>
    <m/>
    <m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x v="0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x v="7"/>
    <n v="7"/>
    <n v="1"/>
    <m/>
    <m/>
    <x v="4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x v="2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x v="15"/>
    <n v="4"/>
    <n v="1"/>
    <m/>
    <m/>
    <x v="3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x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x v="0"/>
    <n v="0"/>
    <n v="1"/>
    <m/>
    <m/>
    <x v="1"/>
  </r>
  <r>
    <n v="47"/>
    <x v="0"/>
    <s v="Travel_Frequently"/>
    <n v="1093"/>
    <s v="Sales"/>
    <n v="9"/>
    <n v="3"/>
    <s v="Life Sciences"/>
    <n v="1"/>
    <n v="1716"/>
    <n v="3"/>
    <s v="Male"/>
    <n v="82"/>
    <n v="1"/>
    <x v="3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x v="15"/>
    <n v="10"/>
    <n v="1"/>
    <m/>
    <m/>
    <x v="3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x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x v="0"/>
    <n v="2"/>
    <n v="1"/>
    <m/>
    <m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x v="3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x v="6"/>
    <n v="6"/>
    <n v="1"/>
    <m/>
    <m/>
    <x v="3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x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x v="1"/>
    <n v="3"/>
    <n v="1"/>
    <m/>
    <m/>
    <x v="2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x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x v="0"/>
    <n v="3"/>
    <n v="1"/>
    <m/>
    <m/>
    <x v="2"/>
  </r>
  <r>
    <n v="41"/>
    <x v="1"/>
    <s v="Non-Travel"/>
    <n v="552"/>
    <s v="Human Resources"/>
    <n v="4"/>
    <n v="3"/>
    <s v="Human Resources"/>
    <n v="1"/>
    <n v="1722"/>
    <n v="3"/>
    <s v="Male"/>
    <n v="60"/>
    <n v="1"/>
    <x v="0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x v="1"/>
    <n v="2"/>
    <n v="1"/>
    <m/>
    <m/>
    <x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x v="0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x v="0"/>
    <n v="0"/>
    <n v="1"/>
    <m/>
    <m/>
    <x v="1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x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x v="1"/>
    <n v="2"/>
    <n v="1"/>
    <m/>
    <m/>
    <x v="0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x v="0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x v="0"/>
    <n v="9"/>
    <n v="1"/>
    <m/>
    <m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x v="0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x v="0"/>
    <n v="7"/>
    <n v="1"/>
    <m/>
    <m/>
    <x v="0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x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x v="0"/>
    <n v="8"/>
    <n v="1"/>
    <m/>
    <m/>
    <x v="0"/>
  </r>
  <r>
    <n v="47"/>
    <x v="1"/>
    <s v="Non-Travel"/>
    <n v="543"/>
    <s v="Sales"/>
    <n v="2"/>
    <n v="4"/>
    <s v="Marketing"/>
    <n v="1"/>
    <n v="1731"/>
    <n v="3"/>
    <s v="Male"/>
    <n v="87"/>
    <n v="3"/>
    <x v="0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x v="0"/>
    <n v="0"/>
    <n v="1"/>
    <m/>
    <m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x v="2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x v="0"/>
    <n v="3"/>
    <n v="1"/>
    <m/>
    <m/>
    <x v="0"/>
  </r>
  <r>
    <n v="36"/>
    <x v="0"/>
    <s v="Travel_Rarely"/>
    <n v="1456"/>
    <s v="Sales"/>
    <n v="13"/>
    <n v="5"/>
    <s v="Marketing"/>
    <n v="1"/>
    <n v="1733"/>
    <n v="2"/>
    <s v="Male"/>
    <n v="96"/>
    <n v="2"/>
    <x v="0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x v="3"/>
    <n v="2"/>
    <n v="1"/>
    <m/>
    <m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x v="0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x v="0"/>
    <n v="0"/>
    <n v="1"/>
    <m/>
    <m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x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x v="1"/>
    <n v="2"/>
    <n v="1"/>
    <m/>
    <m/>
    <x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x v="0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x v="1"/>
    <n v="4"/>
    <n v="1"/>
    <m/>
    <m/>
    <x v="2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x v="0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x v="8"/>
    <n v="8"/>
    <n v="1"/>
    <m/>
    <m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x v="2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x v="0"/>
    <n v="2"/>
    <n v="1"/>
    <m/>
    <m/>
    <x v="2"/>
  </r>
  <r>
    <n v="40"/>
    <x v="1"/>
    <s v="Travel_Rarely"/>
    <n v="611"/>
    <s v="Sales"/>
    <n v="7"/>
    <n v="4"/>
    <s v="Medical"/>
    <n v="1"/>
    <n v="1740"/>
    <n v="2"/>
    <s v="Male"/>
    <n v="88"/>
    <n v="3"/>
    <x v="4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x v="12"/>
    <n v="8"/>
    <n v="1"/>
    <m/>
    <m/>
    <x v="3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x v="2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x v="0"/>
    <n v="3"/>
    <n v="1"/>
    <m/>
    <m/>
    <x v="2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x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x v="0"/>
    <n v="7"/>
    <n v="1"/>
    <m/>
    <m/>
    <x v="0"/>
  </r>
  <r>
    <n v="24"/>
    <x v="1"/>
    <s v="Travel_Frequently"/>
    <n v="897"/>
    <s v="Human Resources"/>
    <n v="10"/>
    <n v="3"/>
    <s v="Medical"/>
    <n v="1"/>
    <n v="1746"/>
    <n v="1"/>
    <s v="Male"/>
    <n v="59"/>
    <n v="3"/>
    <x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x v="3"/>
    <n v="1"/>
    <n v="1"/>
    <m/>
    <m/>
    <x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x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x v="1"/>
    <n v="2"/>
    <n v="1"/>
    <m/>
    <m/>
    <x v="2"/>
  </r>
  <r>
    <n v="31"/>
    <x v="1"/>
    <s v="Travel_Rarely"/>
    <n v="1003"/>
    <s v="Sales"/>
    <n v="5"/>
    <n v="3"/>
    <s v="Technical Degree"/>
    <n v="1"/>
    <n v="1749"/>
    <n v="1"/>
    <s v="Male"/>
    <n v="51"/>
    <n v="3"/>
    <x v="0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x v="0"/>
    <n v="2"/>
    <n v="1"/>
    <m/>
    <m/>
    <x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x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x v="1"/>
    <n v="4"/>
    <n v="1"/>
    <m/>
    <m/>
    <x v="0"/>
  </r>
  <r>
    <n v="29"/>
    <x v="0"/>
    <s v="Travel_Rarely"/>
    <n v="428"/>
    <s v="Sales"/>
    <n v="9"/>
    <n v="3"/>
    <s v="Marketing"/>
    <n v="1"/>
    <n v="1752"/>
    <n v="2"/>
    <s v="Female"/>
    <n v="52"/>
    <n v="1"/>
    <x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x v="3"/>
    <n v="2"/>
    <n v="1"/>
    <m/>
    <m/>
    <x v="1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x v="0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x v="0"/>
    <n v="2"/>
    <n v="1"/>
    <m/>
    <m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x v="2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x v="1"/>
    <n v="7"/>
    <n v="1"/>
    <m/>
    <m/>
    <x v="0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x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x v="1"/>
    <n v="2"/>
    <n v="1"/>
    <m/>
    <m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x v="0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x v="1"/>
    <n v="7"/>
    <n v="1"/>
    <m/>
    <m/>
    <x v="4"/>
  </r>
  <r>
    <n v="49"/>
    <x v="1"/>
    <s v="Travel_Rarely"/>
    <n v="1313"/>
    <s v="Sales"/>
    <n v="11"/>
    <n v="4"/>
    <s v="Marketing"/>
    <n v="1"/>
    <n v="1757"/>
    <n v="4"/>
    <s v="Female"/>
    <n v="80"/>
    <n v="3"/>
    <x v="0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x v="0"/>
    <n v="4"/>
    <n v="1"/>
    <m/>
    <m/>
    <x v="2"/>
  </r>
  <r>
    <n v="33"/>
    <x v="0"/>
    <s v="Travel_Rarely"/>
    <n v="211"/>
    <s v="Sales"/>
    <n v="16"/>
    <n v="3"/>
    <s v="Life Sciences"/>
    <n v="1"/>
    <n v="1758"/>
    <n v="1"/>
    <s v="Female"/>
    <n v="74"/>
    <n v="3"/>
    <x v="2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x v="0"/>
    <n v="0"/>
    <n v="1"/>
    <m/>
    <m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x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x v="0"/>
    <n v="5"/>
    <n v="1"/>
    <m/>
    <m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x v="2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x v="0"/>
    <n v="0"/>
    <n v="1"/>
    <m/>
    <m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x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x v="0"/>
    <n v="0"/>
    <n v="1"/>
    <m/>
    <m/>
    <x v="1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x v="0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x v="1"/>
    <n v="7"/>
    <n v="1"/>
    <m/>
    <m/>
    <x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x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x v="0"/>
    <n v="7"/>
    <n v="1"/>
    <m/>
    <m/>
    <x v="0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x v="0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x v="1"/>
    <n v="0"/>
    <n v="1"/>
    <m/>
    <m/>
    <x v="1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x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x v="0"/>
    <n v="0"/>
    <n v="1"/>
    <m/>
    <m/>
    <x v="1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x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x v="0"/>
    <n v="4"/>
    <n v="1"/>
    <m/>
    <m/>
    <x v="2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x v="4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x v="0"/>
    <n v="0"/>
    <n v="1"/>
    <m/>
    <m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x v="0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x v="1"/>
    <n v="7"/>
    <n v="1"/>
    <m/>
    <m/>
    <x v="0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x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x v="0"/>
    <n v="4"/>
    <n v="1"/>
    <m/>
    <m/>
    <x v="2"/>
  </r>
  <r>
    <n v="34"/>
    <x v="1"/>
    <s v="Non-Travel"/>
    <n v="1375"/>
    <s v="Sales"/>
    <n v="10"/>
    <n v="3"/>
    <s v="Life Sciences"/>
    <n v="1"/>
    <n v="1774"/>
    <n v="4"/>
    <s v="Male"/>
    <n v="87"/>
    <n v="3"/>
    <x v="0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x v="0"/>
    <n v="7"/>
    <n v="1"/>
    <m/>
    <m/>
    <x v="4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x v="3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x v="0"/>
    <n v="2"/>
    <n v="1"/>
    <m/>
    <m/>
    <x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x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x v="1"/>
    <n v="8"/>
    <n v="1"/>
    <m/>
    <m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x v="0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x v="3"/>
    <n v="2"/>
    <n v="1"/>
    <m/>
    <m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x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x v="1"/>
    <n v="0"/>
    <n v="1"/>
    <m/>
    <m/>
    <x v="1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x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x v="0"/>
    <n v="4"/>
    <n v="1"/>
    <m/>
    <m/>
    <x v="2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x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x v="0"/>
    <n v="0"/>
    <n v="1"/>
    <m/>
    <m/>
    <x v="1"/>
  </r>
  <r>
    <n v="31"/>
    <x v="1"/>
    <s v="Travel_Rarely"/>
    <n v="196"/>
    <s v="Sales"/>
    <n v="29"/>
    <n v="4"/>
    <s v="Marketing"/>
    <n v="1"/>
    <n v="1784"/>
    <n v="1"/>
    <s v="Female"/>
    <n v="91"/>
    <n v="2"/>
    <x v="0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x v="8"/>
    <n v="7"/>
    <n v="1"/>
    <m/>
    <m/>
    <x v="4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x v="2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x v="3"/>
    <n v="2"/>
    <n v="1"/>
    <m/>
    <m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x v="0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x v="0"/>
    <n v="3"/>
    <n v="1"/>
    <m/>
    <m/>
    <x v="2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x v="4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x v="3"/>
    <n v="2"/>
    <n v="1"/>
    <m/>
    <m/>
    <x v="1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x v="2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x v="8"/>
    <n v="7"/>
    <n v="1"/>
    <m/>
    <m/>
    <x v="4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x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x v="3"/>
    <n v="3"/>
    <n v="1"/>
    <m/>
    <m/>
    <x v="2"/>
  </r>
  <r>
    <n v="37"/>
    <x v="1"/>
    <s v="Travel_Rarely"/>
    <n v="1239"/>
    <s v="Human Resources"/>
    <n v="8"/>
    <n v="2"/>
    <s v="Other"/>
    <n v="1"/>
    <n v="1794"/>
    <n v="3"/>
    <s v="Male"/>
    <n v="89"/>
    <n v="3"/>
    <x v="0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x v="5"/>
    <n v="7"/>
    <n v="1"/>
    <m/>
    <m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x v="0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x v="4"/>
    <n v="7"/>
    <n v="1"/>
    <m/>
    <m/>
    <x v="0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x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x v="4"/>
    <n v="6"/>
    <n v="1"/>
    <m/>
    <m/>
    <x v="0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x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x v="0"/>
    <n v="3"/>
    <n v="1"/>
    <m/>
    <m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x v="2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x v="3"/>
    <n v="2"/>
    <n v="1"/>
    <m/>
    <m/>
    <x v="2"/>
  </r>
  <r>
    <n v="46"/>
    <x v="1"/>
    <s v="Non-Travel"/>
    <n v="849"/>
    <s v="Sales"/>
    <n v="26"/>
    <n v="2"/>
    <s v="Life Sciences"/>
    <n v="1"/>
    <n v="1801"/>
    <n v="2"/>
    <s v="Male"/>
    <n v="98"/>
    <n v="2"/>
    <x v="0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x v="3"/>
    <n v="2"/>
    <n v="1"/>
    <m/>
    <m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x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x v="0"/>
    <n v="2"/>
    <n v="1"/>
    <m/>
    <m/>
    <x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x v="0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x v="0"/>
    <n v="0"/>
    <n v="1"/>
    <m/>
    <m/>
    <x v="1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x v="0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x v="1"/>
    <n v="7"/>
    <n v="1"/>
    <m/>
    <m/>
    <x v="0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x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x v="2"/>
    <n v="8"/>
    <n v="1"/>
    <m/>
    <m/>
    <x v="4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x v="0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x v="0"/>
    <n v="7"/>
    <n v="1"/>
    <m/>
    <m/>
    <x v="0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x v="0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x v="0"/>
    <n v="8"/>
    <n v="1"/>
    <m/>
    <m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x v="0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x v="3"/>
    <n v="2"/>
    <n v="1"/>
    <m/>
    <m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x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x v="1"/>
    <n v="2"/>
    <n v="1"/>
    <m/>
    <m/>
    <x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x v="0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x v="1"/>
    <n v="2"/>
    <n v="1"/>
    <m/>
    <m/>
    <x v="2"/>
  </r>
  <r>
    <n v="41"/>
    <x v="1"/>
    <s v="Travel_Rarely"/>
    <n v="796"/>
    <s v="Sales"/>
    <n v="4"/>
    <n v="1"/>
    <s v="Marketing"/>
    <n v="1"/>
    <n v="1815"/>
    <n v="3"/>
    <s v="Female"/>
    <n v="81"/>
    <n v="3"/>
    <x v="2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x v="11"/>
    <n v="5"/>
    <n v="1"/>
    <m/>
    <m/>
    <x v="3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x v="2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x v="0"/>
    <n v="2"/>
    <n v="1"/>
    <m/>
    <m/>
    <x v="0"/>
  </r>
  <r>
    <n v="26"/>
    <x v="0"/>
    <s v="Travel_Rarely"/>
    <n v="920"/>
    <s v="Human Resources"/>
    <n v="20"/>
    <n v="2"/>
    <s v="Medical"/>
    <n v="1"/>
    <n v="1818"/>
    <n v="4"/>
    <s v="Female"/>
    <n v="69"/>
    <n v="3"/>
    <x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x v="1"/>
    <n v="4"/>
    <n v="1"/>
    <m/>
    <m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x v="0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x v="2"/>
    <n v="7"/>
    <n v="1"/>
    <m/>
    <m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x v="0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x v="0"/>
    <n v="3"/>
    <n v="1"/>
    <m/>
    <m/>
    <x v="2"/>
  </r>
  <r>
    <n v="34"/>
    <x v="1"/>
    <s v="Travel_Rarely"/>
    <n v="810"/>
    <s v="Sales"/>
    <n v="8"/>
    <n v="2"/>
    <s v="Technical Degree"/>
    <n v="1"/>
    <n v="1823"/>
    <n v="2"/>
    <s v="Male"/>
    <n v="92"/>
    <n v="4"/>
    <x v="0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x v="5"/>
    <n v="8"/>
    <n v="1"/>
    <m/>
    <m/>
    <x v="0"/>
  </r>
  <r>
    <n v="58"/>
    <x v="1"/>
    <s v="Non-Travel"/>
    <n v="350"/>
    <s v="Sales"/>
    <n v="2"/>
    <n v="3"/>
    <s v="Medical"/>
    <n v="1"/>
    <n v="1824"/>
    <n v="2"/>
    <s v="Male"/>
    <n v="52"/>
    <n v="3"/>
    <x v="3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x v="15"/>
    <n v="14"/>
    <n v="1"/>
    <m/>
    <m/>
    <x v="5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x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x v="0"/>
    <n v="3"/>
    <n v="1"/>
    <m/>
    <m/>
    <x v="2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x v="2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x v="15"/>
    <n v="10"/>
    <n v="1"/>
    <m/>
    <m/>
    <x v="3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x v="0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x v="4"/>
    <n v="7"/>
    <n v="1"/>
    <m/>
    <m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x v="0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x v="1"/>
    <n v="7"/>
    <n v="1"/>
    <m/>
    <m/>
    <x v="0"/>
  </r>
  <r>
    <n v="31"/>
    <x v="1"/>
    <s v="Travel_Frequently"/>
    <n v="1125"/>
    <s v="Sales"/>
    <n v="7"/>
    <n v="4"/>
    <s v="Marketing"/>
    <n v="1"/>
    <n v="1833"/>
    <n v="1"/>
    <s v="Female"/>
    <n v="68"/>
    <n v="3"/>
    <x v="2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x v="3"/>
    <n v="2"/>
    <n v="1"/>
    <m/>
    <m/>
    <x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x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x v="1"/>
    <n v="2"/>
    <n v="1"/>
    <m/>
    <m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x v="0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x v="0"/>
    <n v="3"/>
    <n v="1"/>
    <m/>
    <m/>
    <x v="2"/>
  </r>
  <r>
    <n v="26"/>
    <x v="1"/>
    <s v="Travel_Rarely"/>
    <n v="572"/>
    <s v="Sales"/>
    <n v="10"/>
    <n v="3"/>
    <s v="Medical"/>
    <n v="1"/>
    <n v="1836"/>
    <n v="3"/>
    <s v="Male"/>
    <n v="46"/>
    <n v="3"/>
    <x v="0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x v="1"/>
    <n v="2"/>
    <n v="1"/>
    <m/>
    <m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x v="3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x v="3"/>
    <n v="2"/>
    <n v="1"/>
    <m/>
    <m/>
    <x v="1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x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x v="0"/>
    <n v="0"/>
    <n v="1"/>
    <m/>
    <m/>
    <x v="1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x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x v="0"/>
    <n v="0"/>
    <n v="1"/>
    <m/>
    <m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x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x v="3"/>
    <n v="0"/>
    <n v="1"/>
    <m/>
    <m/>
    <x v="1"/>
  </r>
  <r>
    <n v="45"/>
    <x v="1"/>
    <s v="Non-Travel"/>
    <n v="589"/>
    <s v="Sales"/>
    <n v="2"/>
    <n v="4"/>
    <s v="Life Sciences"/>
    <n v="1"/>
    <n v="1845"/>
    <n v="3"/>
    <s v="Female"/>
    <n v="67"/>
    <n v="3"/>
    <x v="0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x v="8"/>
    <n v="7"/>
    <n v="1"/>
    <m/>
    <m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x v="0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x v="0"/>
    <n v="0"/>
    <n v="1"/>
    <m/>
    <m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x v="0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x v="4"/>
    <n v="7"/>
    <n v="1"/>
    <m/>
    <m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x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x v="0"/>
    <n v="2"/>
    <n v="1"/>
    <m/>
    <m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x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x v="2"/>
    <n v="10"/>
    <n v="1"/>
    <m/>
    <m/>
    <x v="4"/>
  </r>
  <r>
    <n v="32"/>
    <x v="1"/>
    <s v="Travel_Frequently"/>
    <n v="1318"/>
    <s v="Sales"/>
    <n v="10"/>
    <n v="4"/>
    <s v="Marketing"/>
    <n v="1"/>
    <n v="1853"/>
    <n v="4"/>
    <s v="Male"/>
    <n v="79"/>
    <n v="3"/>
    <x v="0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x v="0"/>
    <n v="0"/>
    <n v="1"/>
    <m/>
    <m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x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x v="2"/>
    <n v="3"/>
    <n v="1"/>
    <m/>
    <m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x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x v="3"/>
    <n v="0"/>
    <n v="1"/>
    <m/>
    <m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x v="2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x v="5"/>
    <n v="7"/>
    <n v="1"/>
    <m/>
    <m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x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x v="3"/>
    <n v="2"/>
    <n v="1"/>
    <m/>
    <m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x v="0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x v="1"/>
    <n v="6"/>
    <n v="1"/>
    <m/>
    <m/>
    <x v="0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x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x v="0"/>
    <n v="0"/>
    <n v="1"/>
    <m/>
    <m/>
    <x v="1"/>
  </r>
  <r>
    <n v="32"/>
    <x v="0"/>
    <s v="Travel_Rarely"/>
    <n v="414"/>
    <s v="Sales"/>
    <n v="2"/>
    <n v="4"/>
    <s v="Marketing"/>
    <n v="1"/>
    <n v="1862"/>
    <n v="3"/>
    <s v="Male"/>
    <n v="82"/>
    <n v="2"/>
    <x v="0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x v="3"/>
    <n v="2"/>
    <n v="1"/>
    <m/>
    <m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x v="3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x v="3"/>
    <n v="8"/>
    <n v="1"/>
    <m/>
    <m/>
    <x v="5"/>
  </r>
  <r>
    <n v="27"/>
    <x v="1"/>
    <s v="Travel_Rarely"/>
    <n v="728"/>
    <s v="Sales"/>
    <n v="23"/>
    <n v="1"/>
    <s v="Medical"/>
    <n v="1"/>
    <n v="1864"/>
    <n v="2"/>
    <s v="Female"/>
    <n v="36"/>
    <n v="2"/>
    <x v="0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x v="8"/>
    <n v="8"/>
    <n v="1"/>
    <m/>
    <m/>
    <x v="0"/>
  </r>
  <r>
    <n v="29"/>
    <x v="1"/>
    <s v="Travel_Rarely"/>
    <n v="352"/>
    <s v="Human Resources"/>
    <n v="6"/>
    <n v="1"/>
    <s v="Medical"/>
    <n v="1"/>
    <n v="1865"/>
    <n v="4"/>
    <s v="Male"/>
    <n v="87"/>
    <n v="2"/>
    <x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x v="0"/>
    <n v="0"/>
    <n v="1"/>
    <m/>
    <m/>
    <x v="1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x v="4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x v="7"/>
    <n v="14"/>
    <n v="1"/>
    <m/>
    <m/>
    <x v="5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x v="4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x v="12"/>
    <n v="9"/>
    <n v="1"/>
    <m/>
    <m/>
    <x v="3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x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x v="1"/>
    <n v="0"/>
    <n v="1"/>
    <m/>
    <m/>
    <x v="1"/>
  </r>
  <r>
    <n v="46"/>
    <x v="0"/>
    <s v="Travel_Rarely"/>
    <n v="1254"/>
    <s v="Sales"/>
    <n v="10"/>
    <n v="3"/>
    <s v="Life Sciences"/>
    <n v="1"/>
    <n v="1869"/>
    <n v="3"/>
    <s v="Female"/>
    <n v="64"/>
    <n v="3"/>
    <x v="2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x v="0"/>
    <n v="7"/>
    <n v="1"/>
    <m/>
    <m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x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x v="4"/>
    <n v="3"/>
    <n v="1"/>
    <m/>
    <m/>
    <x v="0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x v="0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x v="3"/>
    <n v="2"/>
    <n v="1"/>
    <m/>
    <m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x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x v="0"/>
    <n v="4"/>
    <n v="1"/>
    <m/>
    <m/>
    <x v="2"/>
  </r>
  <r>
    <n v="28"/>
    <x v="1"/>
    <s v="Travel_Rarely"/>
    <n v="1172"/>
    <s v="Sales"/>
    <n v="3"/>
    <n v="3"/>
    <s v="Medical"/>
    <n v="1"/>
    <n v="1875"/>
    <n v="2"/>
    <s v="Female"/>
    <n v="78"/>
    <n v="3"/>
    <x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x v="0"/>
    <n v="0"/>
    <n v="1"/>
    <m/>
    <m/>
    <x v="1"/>
  </r>
  <r>
    <n v="30"/>
    <x v="0"/>
    <s v="Travel_Rarely"/>
    <n v="945"/>
    <s v="Sales"/>
    <n v="9"/>
    <n v="3"/>
    <s v="Medical"/>
    <n v="1"/>
    <n v="1876"/>
    <n v="2"/>
    <s v="Male"/>
    <n v="89"/>
    <n v="3"/>
    <x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x v="0"/>
    <n v="0"/>
    <n v="1"/>
    <m/>
    <m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x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x v="0"/>
    <n v="0"/>
    <n v="1"/>
    <m/>
    <m/>
    <x v="1"/>
  </r>
  <r>
    <n v="36"/>
    <x v="1"/>
    <s v="Travel_Rarely"/>
    <n v="1266"/>
    <s v="Sales"/>
    <n v="10"/>
    <n v="4"/>
    <s v="Technical Degree"/>
    <n v="1"/>
    <n v="1880"/>
    <n v="2"/>
    <s v="Female"/>
    <n v="63"/>
    <n v="2"/>
    <x v="0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x v="1"/>
    <n v="7"/>
    <n v="1"/>
    <m/>
    <m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x v="0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x v="0"/>
    <n v="2"/>
    <n v="1"/>
    <m/>
    <m/>
    <x v="0"/>
  </r>
  <r>
    <n v="34"/>
    <x v="1"/>
    <s v="Travel_Rarely"/>
    <n v="1480"/>
    <s v="Sales"/>
    <n v="4"/>
    <n v="3"/>
    <s v="Life Sciences"/>
    <n v="1"/>
    <n v="1882"/>
    <n v="3"/>
    <s v="Male"/>
    <n v="64"/>
    <n v="3"/>
    <x v="2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x v="1"/>
    <n v="0"/>
    <n v="1"/>
    <m/>
    <m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x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x v="1"/>
    <n v="2"/>
    <n v="1"/>
    <m/>
    <m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x v="0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x v="0"/>
    <n v="4"/>
    <n v="1"/>
    <m/>
    <m/>
    <x v="2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x v="0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x v="0"/>
    <n v="2"/>
    <n v="1"/>
    <m/>
    <m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x v="0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x v="2"/>
    <n v="8"/>
    <n v="1"/>
    <m/>
    <m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x v="0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x v="0"/>
    <n v="8"/>
    <n v="1"/>
    <m/>
    <m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x v="3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x v="14"/>
    <n v="16"/>
    <n v="1"/>
    <m/>
    <m/>
    <x v="5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x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x v="1"/>
    <n v="0"/>
    <n v="1"/>
    <m/>
    <m/>
    <x v="1"/>
  </r>
  <r>
    <n v="27"/>
    <x v="1"/>
    <s v="Travel_Rarely"/>
    <n v="511"/>
    <s v="Sales"/>
    <n v="2"/>
    <n v="2"/>
    <s v="Medical"/>
    <n v="1"/>
    <n v="1898"/>
    <n v="1"/>
    <s v="Female"/>
    <n v="89"/>
    <n v="4"/>
    <x v="0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x v="0"/>
    <n v="7"/>
    <n v="1"/>
    <m/>
    <m/>
    <x v="0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x v="3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x v="5"/>
    <n v="7"/>
    <n v="1"/>
    <m/>
    <m/>
    <x v="3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x v="0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x v="3"/>
    <n v="2"/>
    <n v="1"/>
    <m/>
    <m/>
    <x v="1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x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x v="2"/>
    <n v="0"/>
    <n v="1"/>
    <m/>
    <m/>
    <x v="2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x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x v="1"/>
    <n v="0"/>
    <n v="1"/>
    <m/>
    <m/>
    <x v="2"/>
  </r>
  <r>
    <n v="36"/>
    <x v="1"/>
    <s v="Travel_Rarely"/>
    <n v="335"/>
    <s v="Sales"/>
    <n v="17"/>
    <n v="2"/>
    <s v="Marketing"/>
    <n v="1"/>
    <n v="1908"/>
    <n v="3"/>
    <s v="Male"/>
    <n v="33"/>
    <n v="2"/>
    <x v="0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x v="1"/>
    <n v="3"/>
    <n v="1"/>
    <m/>
    <m/>
    <x v="2"/>
  </r>
  <r>
    <n v="41"/>
    <x v="1"/>
    <s v="Travel_Rarely"/>
    <n v="337"/>
    <s v="Sales"/>
    <n v="8"/>
    <n v="3"/>
    <s v="Marketing"/>
    <n v="1"/>
    <n v="1909"/>
    <n v="3"/>
    <s v="Female"/>
    <n v="54"/>
    <n v="3"/>
    <x v="0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x v="1"/>
    <n v="4"/>
    <n v="1"/>
    <m/>
    <m/>
    <x v="2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x v="2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x v="8"/>
    <n v="7"/>
    <n v="1"/>
    <m/>
    <m/>
    <x v="4"/>
  </r>
  <r>
    <n v="31"/>
    <x v="1"/>
    <s v="Travel_Rarely"/>
    <n v="1079"/>
    <s v="Sales"/>
    <n v="10"/>
    <n v="2"/>
    <s v="Medical"/>
    <n v="1"/>
    <n v="1912"/>
    <n v="3"/>
    <s v="Female"/>
    <n v="86"/>
    <n v="3"/>
    <x v="0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x v="1"/>
    <n v="4"/>
    <n v="1"/>
    <m/>
    <m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x v="0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x v="0"/>
    <n v="1"/>
    <n v="1"/>
    <m/>
    <m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x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x v="3"/>
    <n v="2"/>
    <n v="1"/>
    <m/>
    <m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x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x v="4"/>
    <n v="7"/>
    <n v="1"/>
    <m/>
    <m/>
    <x v="0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x v="0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x v="0"/>
    <n v="3"/>
    <n v="1"/>
    <m/>
    <m/>
    <x v="2"/>
  </r>
  <r>
    <n v="33"/>
    <x v="1"/>
    <s v="Travel_Rarely"/>
    <n v="217"/>
    <s v="Sales"/>
    <n v="10"/>
    <n v="4"/>
    <s v="Marketing"/>
    <n v="1"/>
    <n v="1924"/>
    <n v="2"/>
    <s v="Male"/>
    <n v="43"/>
    <n v="3"/>
    <x v="0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x v="0"/>
    <n v="9"/>
    <n v="1"/>
    <m/>
    <m/>
    <x v="0"/>
  </r>
  <r>
    <n v="28"/>
    <x v="1"/>
    <s v="Travel_Frequently"/>
    <n v="783"/>
    <s v="Sales"/>
    <n v="1"/>
    <n v="2"/>
    <s v="Life Sciences"/>
    <n v="1"/>
    <n v="1927"/>
    <n v="3"/>
    <s v="Male"/>
    <n v="42"/>
    <n v="2"/>
    <x v="0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x v="0"/>
    <n v="7"/>
    <n v="1"/>
    <m/>
    <m/>
    <x v="0"/>
  </r>
  <r>
    <n v="29"/>
    <x v="0"/>
    <s v="Travel_Frequently"/>
    <n v="746"/>
    <s v="Sales"/>
    <n v="24"/>
    <n v="3"/>
    <s v="Technical Degree"/>
    <n v="1"/>
    <n v="1928"/>
    <n v="3"/>
    <s v="Male"/>
    <n v="45"/>
    <n v="4"/>
    <x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x v="0"/>
    <n v="0"/>
    <n v="1"/>
    <m/>
    <m/>
    <x v="1"/>
  </r>
  <r>
    <n v="39"/>
    <x v="1"/>
    <s v="Non-Travel"/>
    <n v="1251"/>
    <s v="Sales"/>
    <n v="21"/>
    <n v="4"/>
    <s v="Life Sciences"/>
    <n v="1"/>
    <n v="1929"/>
    <n v="1"/>
    <s v="Female"/>
    <n v="32"/>
    <n v="1"/>
    <x v="0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x v="1"/>
    <n v="2"/>
    <n v="1"/>
    <m/>
    <m/>
    <x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x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x v="1"/>
    <n v="2"/>
    <n v="1"/>
    <m/>
    <m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x v="0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x v="7"/>
    <n v="11"/>
    <n v="1"/>
    <m/>
    <m/>
    <x v="4"/>
  </r>
  <r>
    <n v="28"/>
    <x v="0"/>
    <s v="Travel_Rarely"/>
    <n v="1475"/>
    <s v="Sales"/>
    <n v="13"/>
    <n v="2"/>
    <s v="Marketing"/>
    <n v="1"/>
    <n v="1933"/>
    <n v="4"/>
    <s v="Female"/>
    <n v="84"/>
    <n v="3"/>
    <x v="0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x v="3"/>
    <n v="2"/>
    <n v="1"/>
    <m/>
    <m/>
    <x v="1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x v="0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x v="1"/>
    <n v="7"/>
    <n v="1"/>
    <m/>
    <m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x v="0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x v="0"/>
    <n v="0"/>
    <n v="1"/>
    <m/>
    <m/>
    <x v="1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x v="0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x v="4"/>
    <n v="9"/>
    <n v="1"/>
    <m/>
    <m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x v="0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x v="0"/>
    <n v="7"/>
    <n v="1"/>
    <m/>
    <m/>
    <x v="5"/>
  </r>
  <r>
    <n v="58"/>
    <x v="1"/>
    <s v="Travel_Rarely"/>
    <n v="605"/>
    <s v="Sales"/>
    <n v="21"/>
    <n v="3"/>
    <s v="Life Sciences"/>
    <n v="1"/>
    <n v="1938"/>
    <n v="4"/>
    <s v="Female"/>
    <n v="72"/>
    <n v="3"/>
    <x v="3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x v="0"/>
    <n v="0"/>
    <n v="1"/>
    <m/>
    <m/>
    <x v="1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x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x v="0"/>
    <n v="3"/>
    <n v="1"/>
    <m/>
    <m/>
    <x v="2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x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x v="0"/>
    <n v="3"/>
    <n v="1"/>
    <m/>
    <m/>
    <x v="2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x v="4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x v="5"/>
    <n v="3"/>
    <n v="1"/>
    <m/>
    <m/>
    <x v="2"/>
  </r>
  <r>
    <n v="42"/>
    <x v="1"/>
    <s v="Travel_Rarely"/>
    <n v="419"/>
    <s v="Sales"/>
    <n v="12"/>
    <n v="4"/>
    <s v="Marketing"/>
    <n v="1"/>
    <n v="1943"/>
    <n v="2"/>
    <s v="Male"/>
    <n v="77"/>
    <n v="3"/>
    <x v="0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x v="0"/>
    <n v="0"/>
    <n v="1"/>
    <m/>
    <m/>
    <x v="1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x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x v="0"/>
    <n v="0"/>
    <n v="1"/>
    <m/>
    <m/>
    <x v="1"/>
  </r>
  <r>
    <n v="35"/>
    <x v="1"/>
    <s v="Travel_Rarely"/>
    <n v="682"/>
    <s v="Sales"/>
    <n v="18"/>
    <n v="4"/>
    <s v="Medical"/>
    <n v="1"/>
    <n v="1945"/>
    <n v="2"/>
    <s v="Male"/>
    <n v="71"/>
    <n v="3"/>
    <x v="0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x v="0"/>
    <n v="4"/>
    <n v="1"/>
    <m/>
    <m/>
    <x v="2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x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x v="1"/>
    <n v="4"/>
    <n v="1"/>
    <m/>
    <m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x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x v="3"/>
    <n v="3"/>
    <n v="1"/>
    <m/>
    <m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x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x v="0"/>
    <n v="2"/>
    <n v="1"/>
    <m/>
    <m/>
    <x v="2"/>
  </r>
  <r>
    <n v="34"/>
    <x v="1"/>
    <s v="Travel_Rarely"/>
    <n v="937"/>
    <s v="Sales"/>
    <n v="1"/>
    <n v="3"/>
    <s v="Marketing"/>
    <n v="1"/>
    <n v="1950"/>
    <n v="1"/>
    <s v="Male"/>
    <n v="32"/>
    <n v="3"/>
    <x v="2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x v="3"/>
    <n v="1"/>
    <n v="1"/>
    <m/>
    <m/>
    <x v="4"/>
  </r>
  <r>
    <n v="34"/>
    <x v="1"/>
    <s v="Travel_Rarely"/>
    <n v="1239"/>
    <s v="Sales"/>
    <n v="13"/>
    <n v="4"/>
    <s v="Medical"/>
    <n v="1"/>
    <n v="1951"/>
    <n v="4"/>
    <s v="Male"/>
    <n v="39"/>
    <n v="3"/>
    <x v="2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x v="1"/>
    <n v="1"/>
    <n v="1"/>
    <m/>
    <m/>
    <x v="0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x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x v="4"/>
    <n v="6"/>
    <n v="1"/>
    <m/>
    <m/>
    <x v="0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x v="0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x v="0"/>
    <n v="2"/>
    <n v="1"/>
    <m/>
    <m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x v="0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x v="1"/>
    <n v="2"/>
    <n v="1"/>
    <m/>
    <m/>
    <x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x v="0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x v="6"/>
    <n v="7"/>
    <n v="1"/>
    <m/>
    <m/>
    <x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x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x v="0"/>
    <n v="3"/>
    <n v="1"/>
    <m/>
    <m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x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x v="0"/>
    <n v="0"/>
    <n v="1"/>
    <m/>
    <m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x v="0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x v="0"/>
    <n v="9"/>
    <n v="1"/>
    <m/>
    <m/>
    <x v="0"/>
  </r>
  <r>
    <n v="27"/>
    <x v="1"/>
    <s v="Travel_Rarely"/>
    <n v="954"/>
    <s v="Sales"/>
    <n v="9"/>
    <n v="3"/>
    <s v="Marketing"/>
    <n v="1"/>
    <n v="1965"/>
    <n v="4"/>
    <s v="Male"/>
    <n v="44"/>
    <n v="3"/>
    <x v="0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x v="0"/>
    <n v="7"/>
    <n v="1"/>
    <m/>
    <m/>
    <x v="0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x v="0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x v="0"/>
    <n v="0"/>
    <n v="1"/>
    <m/>
    <m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x v="0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x v="0"/>
    <n v="8"/>
    <n v="1"/>
    <m/>
    <m/>
    <x v="0"/>
  </r>
  <r>
    <n v="53"/>
    <x v="0"/>
    <s v="Travel_Rarely"/>
    <n v="1168"/>
    <s v="Sales"/>
    <n v="24"/>
    <n v="4"/>
    <s v="Life Sciences"/>
    <n v="1"/>
    <n v="1968"/>
    <n v="1"/>
    <s v="Male"/>
    <n v="66"/>
    <n v="3"/>
    <x v="2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x v="3"/>
    <n v="2"/>
    <n v="1"/>
    <m/>
    <m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x v="0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x v="3"/>
    <n v="3"/>
    <n v="1"/>
    <m/>
    <m/>
    <x v="2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x v="0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x v="3"/>
    <n v="8"/>
    <n v="1"/>
    <m/>
    <m/>
    <x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x v="2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x v="0"/>
    <n v="9"/>
    <n v="1"/>
    <m/>
    <m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x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x v="1"/>
    <n v="2"/>
    <n v="1"/>
    <m/>
    <m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x v="4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x v="1"/>
    <n v="4"/>
    <n v="1"/>
    <m/>
    <m/>
    <x v="0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x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x v="0"/>
    <n v="0"/>
    <n v="1"/>
    <m/>
    <m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x v="3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x v="14"/>
    <n v="10"/>
    <n v="1"/>
    <m/>
    <m/>
    <x v="5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x v="0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x v="2"/>
    <n v="7"/>
    <n v="1"/>
    <m/>
    <m/>
    <x v="5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x v="2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x v="5"/>
    <n v="8"/>
    <n v="1"/>
    <m/>
    <m/>
    <x v="4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x v="0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x v="1"/>
    <n v="4"/>
    <n v="1"/>
    <m/>
    <m/>
    <x v="2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x v="0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x v="1"/>
    <n v="2"/>
    <n v="1"/>
    <m/>
    <m/>
    <x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x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x v="1"/>
    <n v="4"/>
    <n v="1"/>
    <m/>
    <m/>
    <x v="2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x v="0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x v="10"/>
    <n v="4"/>
    <n v="1"/>
    <m/>
    <m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x v="0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x v="8"/>
    <n v="10"/>
    <n v="1"/>
    <m/>
    <m/>
    <x v="4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x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x v="1"/>
    <n v="2"/>
    <n v="1"/>
    <m/>
    <m/>
    <x v="1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x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x v="1"/>
    <n v="7"/>
    <n v="1"/>
    <m/>
    <m/>
    <x v="4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x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x v="0"/>
    <n v="2"/>
    <n v="1"/>
    <m/>
    <m/>
    <x v="1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x v="2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x v="12"/>
    <n v="11"/>
    <n v="1"/>
    <m/>
    <m/>
    <x v="5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x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x v="0"/>
    <n v="0"/>
    <n v="1"/>
    <m/>
    <m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x v="0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x v="8"/>
    <n v="8"/>
    <n v="1"/>
    <m/>
    <m/>
    <x v="4"/>
  </r>
  <r>
    <n v="31"/>
    <x v="1"/>
    <s v="Travel_Rarely"/>
    <n v="1154"/>
    <s v="Sales"/>
    <n v="2"/>
    <n v="2"/>
    <s v="Life Sciences"/>
    <n v="1"/>
    <n v="1996"/>
    <n v="1"/>
    <s v="Male"/>
    <n v="54"/>
    <n v="3"/>
    <x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x v="1"/>
    <n v="2"/>
    <n v="1"/>
    <m/>
    <m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x v="0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x v="4"/>
    <n v="7"/>
    <n v="1"/>
    <m/>
    <m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x v="0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x v="1"/>
    <n v="2"/>
    <n v="1"/>
    <m/>
    <m/>
    <x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x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x v="1"/>
    <n v="0"/>
    <n v="1"/>
    <m/>
    <m/>
    <x v="2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x v="2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x v="8"/>
    <n v="12"/>
    <n v="1"/>
    <m/>
    <m/>
    <x v="4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x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x v="3"/>
    <n v="2"/>
    <n v="1"/>
    <m/>
    <m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x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x v="1"/>
    <n v="2"/>
    <n v="1"/>
    <m/>
    <m/>
    <x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x v="0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x v="0"/>
    <n v="8"/>
    <n v="1"/>
    <m/>
    <m/>
    <x v="0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x v="0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x v="6"/>
    <n v="1"/>
    <n v="1"/>
    <m/>
    <m/>
    <x v="0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x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x v="5"/>
    <n v="1"/>
    <n v="1"/>
    <m/>
    <m/>
    <x v="0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x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x v="0"/>
    <n v="0"/>
    <n v="1"/>
    <m/>
    <m/>
    <x v="1"/>
  </r>
  <r>
    <n v="32"/>
    <x v="1"/>
    <s v="Travel_Rarely"/>
    <n v="234"/>
    <s v="Sales"/>
    <n v="1"/>
    <n v="4"/>
    <s v="Medical"/>
    <n v="1"/>
    <n v="2013"/>
    <n v="2"/>
    <s v="Male"/>
    <n v="68"/>
    <n v="2"/>
    <x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x v="3"/>
    <n v="2"/>
    <n v="1"/>
    <m/>
    <m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x v="0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x v="1"/>
    <n v="7"/>
    <n v="1"/>
    <m/>
    <m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x v="2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x v="1"/>
    <n v="11"/>
    <n v="1"/>
    <m/>
    <m/>
    <x v="5"/>
  </r>
  <r>
    <n v="32"/>
    <x v="1"/>
    <s v="Travel_Rarely"/>
    <n v="801"/>
    <s v="Sales"/>
    <n v="1"/>
    <n v="4"/>
    <s v="Marketing"/>
    <n v="1"/>
    <n v="2016"/>
    <n v="3"/>
    <s v="Female"/>
    <n v="48"/>
    <n v="3"/>
    <x v="2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x v="8"/>
    <n v="7"/>
    <n v="1"/>
    <m/>
    <m/>
    <x v="4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x v="2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x v="7"/>
    <n v="8"/>
    <n v="1"/>
    <m/>
    <m/>
    <x v="5"/>
  </r>
  <r>
    <n v="25"/>
    <x v="1"/>
    <s v="Travel_Rarely"/>
    <n v="1382"/>
    <s v="Sales"/>
    <n v="8"/>
    <n v="2"/>
    <s v="Other"/>
    <n v="1"/>
    <n v="2018"/>
    <n v="1"/>
    <s v="Female"/>
    <n v="85"/>
    <n v="3"/>
    <x v="0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x v="0"/>
    <n v="4"/>
    <n v="1"/>
    <m/>
    <m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x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x v="0"/>
    <n v="0"/>
    <n v="1"/>
    <m/>
    <m/>
    <x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x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x v="1"/>
    <n v="2"/>
    <n v="1"/>
    <m/>
    <m/>
    <x v="2"/>
  </r>
  <r>
    <n v="21"/>
    <x v="1"/>
    <s v="Travel_Rarely"/>
    <n v="501"/>
    <s v="Sales"/>
    <n v="5"/>
    <n v="1"/>
    <s v="Medical"/>
    <n v="1"/>
    <n v="2021"/>
    <n v="3"/>
    <s v="Male"/>
    <n v="58"/>
    <n v="3"/>
    <x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x v="1"/>
    <n v="2"/>
    <n v="1"/>
    <m/>
    <m/>
    <x v="1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x v="4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x v="1"/>
    <n v="3"/>
    <n v="1"/>
    <m/>
    <m/>
    <x v="0"/>
  </r>
  <r>
    <n v="23"/>
    <x v="0"/>
    <s v="Travel_Frequently"/>
    <n v="638"/>
    <s v="Sales"/>
    <n v="9"/>
    <n v="3"/>
    <s v="Marketing"/>
    <n v="1"/>
    <n v="2023"/>
    <n v="4"/>
    <s v="Male"/>
    <n v="33"/>
    <n v="3"/>
    <x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x v="1"/>
    <n v="0"/>
    <n v="1"/>
    <m/>
    <m/>
    <x v="1"/>
  </r>
  <r>
    <n v="36"/>
    <x v="1"/>
    <s v="Travel_Rarely"/>
    <n v="557"/>
    <s v="Sales"/>
    <n v="3"/>
    <n v="3"/>
    <s v="Medical"/>
    <n v="1"/>
    <n v="2024"/>
    <n v="1"/>
    <s v="Female"/>
    <n v="94"/>
    <n v="2"/>
    <x v="2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x v="2"/>
    <n v="4"/>
    <n v="1"/>
    <m/>
    <m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x v="0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x v="0"/>
    <n v="2"/>
    <n v="1"/>
    <m/>
    <m/>
    <x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x v="0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x v="1"/>
    <n v="9"/>
    <n v="1"/>
    <m/>
    <m/>
    <x v="4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x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x v="3"/>
    <n v="2"/>
    <n v="1"/>
    <m/>
    <m/>
    <x v="1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x v="4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x v="5"/>
    <n v="14"/>
    <n v="1"/>
    <m/>
    <m/>
    <x v="3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x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x v="10"/>
    <n v="8"/>
    <n v="1"/>
    <m/>
    <m/>
    <x v="0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x v="3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x v="0"/>
    <n v="10"/>
    <n v="1"/>
    <m/>
    <m/>
    <x v="5"/>
  </r>
  <r>
    <n v="34"/>
    <x v="1"/>
    <s v="Travel_Rarely"/>
    <n v="704"/>
    <s v="Sales"/>
    <n v="28"/>
    <n v="3"/>
    <s v="Marketing"/>
    <n v="1"/>
    <n v="2035"/>
    <n v="4"/>
    <s v="Female"/>
    <n v="95"/>
    <n v="2"/>
    <x v="0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x v="1"/>
    <n v="7"/>
    <n v="1"/>
    <m/>
    <m/>
    <x v="0"/>
  </r>
  <r>
    <n v="36"/>
    <x v="1"/>
    <s v="Non-Travel"/>
    <n v="301"/>
    <s v="Sales"/>
    <n v="15"/>
    <n v="4"/>
    <s v="Marketing"/>
    <n v="1"/>
    <n v="2036"/>
    <n v="4"/>
    <s v="Male"/>
    <n v="88"/>
    <n v="1"/>
    <x v="0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x v="14"/>
    <n v="11"/>
    <n v="1"/>
    <m/>
    <m/>
    <x v="4"/>
  </r>
  <r>
    <n v="41"/>
    <x v="1"/>
    <s v="Travel_Rarely"/>
    <n v="930"/>
    <s v="Sales"/>
    <n v="3"/>
    <n v="3"/>
    <s v="Life Sciences"/>
    <n v="1"/>
    <n v="2037"/>
    <n v="3"/>
    <s v="Male"/>
    <n v="57"/>
    <n v="2"/>
    <x v="0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x v="0"/>
    <n v="4"/>
    <n v="1"/>
    <m/>
    <m/>
    <x v="2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x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x v="1"/>
    <n v="2"/>
    <n v="1"/>
    <m/>
    <m/>
    <x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x v="2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x v="1"/>
    <n v="7"/>
    <n v="1"/>
    <m/>
    <m/>
    <x v="0"/>
  </r>
  <r>
    <n v="38"/>
    <x v="1"/>
    <s v="Travel_Rarely"/>
    <n v="345"/>
    <s v="Sales"/>
    <n v="10"/>
    <n v="2"/>
    <s v="Life Sciences"/>
    <n v="1"/>
    <n v="2041"/>
    <n v="1"/>
    <s v="Female"/>
    <n v="100"/>
    <n v="3"/>
    <x v="0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x v="1"/>
    <n v="9"/>
    <n v="1"/>
    <m/>
    <m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x v="0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x v="0"/>
    <n v="1"/>
    <n v="1"/>
    <m/>
    <m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x v="0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x v="0"/>
    <n v="0"/>
    <n v="1"/>
    <m/>
    <m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x v="0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x v="0"/>
    <n v="1"/>
    <n v="1"/>
    <m/>
    <m/>
    <x v="2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x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x v="3"/>
    <n v="2"/>
    <n v="1"/>
    <m/>
    <m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x v="0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x v="0"/>
    <n v="2"/>
    <n v="1"/>
    <m/>
    <m/>
    <x v="0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x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x v="0"/>
    <n v="2"/>
    <n v="1"/>
    <m/>
    <m/>
    <x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x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x v="1"/>
    <n v="1"/>
    <n v="1"/>
    <m/>
    <m/>
    <x v="2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x v="0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x v="0"/>
    <n v="3"/>
    <n v="1"/>
    <m/>
    <m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x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x v="0"/>
    <n v="4"/>
    <n v="1"/>
    <m/>
    <m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x v="2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x v="3"/>
    <n v="0"/>
    <n v="1"/>
    <m/>
    <m/>
    <x v="2"/>
  </r>
  <r>
    <n v="39"/>
    <x v="1"/>
    <s v="Travel_Rarely"/>
    <n v="722"/>
    <s v="Sales"/>
    <n v="24"/>
    <n v="1"/>
    <s v="Marketing"/>
    <n v="1"/>
    <n v="2056"/>
    <n v="2"/>
    <s v="Female"/>
    <n v="60"/>
    <n v="2"/>
    <x v="3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x v="10"/>
    <n v="6"/>
    <n v="1"/>
    <m/>
    <m/>
    <x v="5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x v="0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x v="1"/>
    <n v="7"/>
    <n v="1"/>
    <m/>
    <m/>
    <x v="0"/>
  </r>
  <r>
    <n v="26"/>
    <x v="1"/>
    <s v="Travel_Rarely"/>
    <n v="1167"/>
    <s v="Sales"/>
    <n v="5"/>
    <n v="3"/>
    <s v="Other"/>
    <n v="1"/>
    <n v="2060"/>
    <n v="4"/>
    <s v="Female"/>
    <n v="30"/>
    <n v="2"/>
    <x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x v="0"/>
    <n v="0"/>
    <n v="1"/>
    <m/>
    <m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x v="0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x v="0"/>
    <n v="3"/>
    <n v="1"/>
    <m/>
    <m/>
    <x v="2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x v="2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x v="1"/>
    <n v="7"/>
    <n v="1"/>
    <m/>
    <m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x v="0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x v="0"/>
    <n v="3"/>
    <n v="1"/>
    <m/>
    <m/>
    <x v="0"/>
  </r>
  <r>
    <n v="49"/>
    <x v="1"/>
    <s v="Travel_Frequently"/>
    <n v="1023"/>
    <s v="Sales"/>
    <n v="2"/>
    <n v="3"/>
    <s v="Medical"/>
    <n v="1"/>
    <n v="2065"/>
    <n v="4"/>
    <s v="Male"/>
    <n v="63"/>
    <n v="2"/>
    <x v="0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x v="0"/>
    <n v="8"/>
    <n v="1"/>
    <m/>
    <m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x v="0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x v="1"/>
    <n v="2"/>
    <n v="1"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70">
  <r>
    <n v="41"/>
    <x v="0"/>
    <x v="0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s v="41_Sales_Sales Executive"/>
    <n v="0"/>
    <s v="6-10 Years"/>
    <x v="0"/>
  </r>
  <r>
    <n v="49"/>
    <x v="1"/>
    <x v="1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1"/>
    <m/>
    <m/>
    <s v="6-10 Years"/>
    <x v="0"/>
  </r>
  <r>
    <n v="37"/>
    <x v="0"/>
    <x v="0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m/>
    <m/>
    <s v="0-2 Years"/>
    <x v="0"/>
  </r>
  <r>
    <n v="33"/>
    <x v="1"/>
    <x v="1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1"/>
    <m/>
    <m/>
    <s v="6-10 Years"/>
    <x v="1"/>
  </r>
  <r>
    <n v="27"/>
    <x v="1"/>
    <x v="0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1"/>
    <m/>
    <m/>
    <s v="0-2 Years"/>
    <x v="0"/>
  </r>
  <r>
    <n v="32"/>
    <x v="1"/>
    <x v="1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1"/>
    <m/>
    <m/>
    <s v="6-10 Years"/>
    <x v="1"/>
  </r>
  <r>
    <n v="59"/>
    <x v="1"/>
    <x v="0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1"/>
    <m/>
    <m/>
    <s v="0-2 Years"/>
    <x v="0"/>
  </r>
  <r>
    <n v="30"/>
    <x v="1"/>
    <x v="0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1"/>
    <m/>
    <m/>
    <s v="0-2 Years"/>
    <x v="0"/>
  </r>
  <r>
    <n v="38"/>
    <x v="1"/>
    <x v="1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1"/>
    <m/>
    <m/>
    <s v="6-10 Years"/>
    <x v="0"/>
  </r>
  <r>
    <n v="36"/>
    <x v="1"/>
    <x v="0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1"/>
    <m/>
    <m/>
    <s v="6-10 Years"/>
    <x v="2"/>
  </r>
  <r>
    <n v="35"/>
    <x v="1"/>
    <x v="0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1"/>
    <m/>
    <m/>
    <s v="3-5 Years"/>
    <x v="0"/>
  </r>
  <r>
    <n v="29"/>
    <x v="1"/>
    <x v="0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1"/>
    <m/>
    <m/>
    <s v="6-10 Years"/>
    <x v="0"/>
  </r>
  <r>
    <n v="31"/>
    <x v="1"/>
    <x v="0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1"/>
    <m/>
    <m/>
    <s v="3-5 Years"/>
    <x v="1"/>
  </r>
  <r>
    <n v="34"/>
    <x v="1"/>
    <x v="0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1"/>
    <m/>
    <m/>
    <s v="0-2 Years"/>
    <x v="0"/>
  </r>
  <r>
    <n v="28"/>
    <x v="0"/>
    <x v="0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m/>
    <m/>
    <s v="3-5 Years"/>
    <x v="0"/>
  </r>
  <r>
    <n v="29"/>
    <x v="1"/>
    <x v="0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1"/>
    <m/>
    <m/>
    <s v="6-10 Years"/>
    <x v="2"/>
  </r>
  <r>
    <n v="32"/>
    <x v="1"/>
    <x v="0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1"/>
    <m/>
    <m/>
    <s v="6-10 Years"/>
    <x v="0"/>
  </r>
  <r>
    <n v="22"/>
    <x v="1"/>
    <x v="2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1"/>
    <m/>
    <m/>
    <s v="0-2 Years"/>
    <x v="0"/>
  </r>
  <r>
    <n v="53"/>
    <x v="1"/>
    <x v="0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1"/>
    <m/>
    <m/>
    <s v="21+ Years"/>
    <x v="1"/>
  </r>
  <r>
    <n v="38"/>
    <x v="1"/>
    <x v="0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1"/>
    <m/>
    <m/>
    <s v="3-5 Years"/>
    <x v="0"/>
  </r>
  <r>
    <n v="24"/>
    <x v="1"/>
    <x v="2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1"/>
    <m/>
    <m/>
    <s v="3-5 Years"/>
    <x v="0"/>
  </r>
  <r>
    <n v="36"/>
    <x v="0"/>
    <x v="0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m/>
    <m/>
    <s v="3-5 Years"/>
    <x v="0"/>
  </r>
  <r>
    <n v="34"/>
    <x v="1"/>
    <x v="0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1"/>
    <m/>
    <m/>
    <s v="11-15 Years"/>
    <x v="0"/>
  </r>
  <r>
    <n v="21"/>
    <x v="1"/>
    <x v="0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1"/>
    <m/>
    <m/>
    <s v="0-2 Years"/>
    <x v="0"/>
  </r>
  <r>
    <n v="34"/>
    <x v="0"/>
    <x v="0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m/>
    <m/>
    <s v="3-5 Years"/>
    <x v="0"/>
  </r>
  <r>
    <n v="53"/>
    <x v="1"/>
    <x v="0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1"/>
    <m/>
    <m/>
    <s v="11-15 Years"/>
    <x v="1"/>
  </r>
  <r>
    <n v="32"/>
    <x v="0"/>
    <x v="1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m/>
    <m/>
    <s v="6-10 Years"/>
    <x v="2"/>
  </r>
  <r>
    <n v="42"/>
    <x v="1"/>
    <x v="0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1"/>
    <m/>
    <m/>
    <s v="6-10 Years"/>
    <x v="1"/>
  </r>
  <r>
    <n v="44"/>
    <x v="1"/>
    <x v="0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1"/>
    <m/>
    <m/>
    <s v="21+ Years"/>
    <x v="1"/>
  </r>
  <r>
    <n v="46"/>
    <x v="1"/>
    <x v="0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1"/>
    <m/>
    <m/>
    <s v="0-2 Years"/>
    <x v="0"/>
  </r>
  <r>
    <n v="33"/>
    <x v="1"/>
    <x v="0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1"/>
    <m/>
    <m/>
    <s v="0-2 Years"/>
    <x v="0"/>
  </r>
  <r>
    <n v="44"/>
    <x v="1"/>
    <x v="0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1"/>
    <m/>
    <m/>
    <s v="3-5 Years"/>
    <x v="0"/>
  </r>
  <r>
    <n v="30"/>
    <x v="1"/>
    <x v="0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1"/>
    <m/>
    <m/>
    <s v="6-10 Years"/>
    <x v="0"/>
  </r>
  <r>
    <n v="39"/>
    <x v="0"/>
    <x v="0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m/>
    <m/>
    <s v="0-2 Years"/>
    <x v="0"/>
  </r>
  <r>
    <n v="24"/>
    <x v="0"/>
    <x v="0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m/>
    <m/>
    <s v="0-2 Years"/>
    <x v="0"/>
  </r>
  <r>
    <n v="43"/>
    <x v="1"/>
    <x v="0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1"/>
    <m/>
    <m/>
    <s v="3-5 Years"/>
    <x v="0"/>
  </r>
  <r>
    <n v="50"/>
    <x v="0"/>
    <x v="0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m/>
    <m/>
    <s v="3-5 Years"/>
    <x v="0"/>
  </r>
  <r>
    <n v="35"/>
    <x v="1"/>
    <x v="0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1"/>
    <m/>
    <m/>
    <s v="0-2 Years"/>
    <x v="0"/>
  </r>
  <r>
    <n v="36"/>
    <x v="1"/>
    <x v="0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1"/>
    <m/>
    <m/>
    <s v="0-2 Years"/>
    <x v="0"/>
  </r>
  <r>
    <n v="33"/>
    <x v="1"/>
    <x v="1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1"/>
    <m/>
    <m/>
    <s v="3-5 Years"/>
    <x v="0"/>
  </r>
  <r>
    <n v="35"/>
    <x v="1"/>
    <x v="0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1"/>
    <m/>
    <m/>
    <s v="0-2 Years"/>
    <x v="0"/>
  </r>
  <r>
    <n v="27"/>
    <x v="1"/>
    <x v="0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1"/>
    <m/>
    <m/>
    <s v="0-2 Years"/>
    <x v="0"/>
  </r>
  <r>
    <n v="26"/>
    <x v="0"/>
    <x v="0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m/>
    <m/>
    <s v="0-2 Years"/>
    <x v="0"/>
  </r>
  <r>
    <n v="27"/>
    <x v="1"/>
    <x v="1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1"/>
    <m/>
    <m/>
    <s v="6-10 Years"/>
    <x v="0"/>
  </r>
  <r>
    <n v="30"/>
    <x v="1"/>
    <x v="1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1"/>
    <m/>
    <m/>
    <s v="11-15 Years"/>
    <x v="1"/>
  </r>
  <r>
    <n v="41"/>
    <x v="0"/>
    <x v="0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m/>
    <m/>
    <s v="21+ Years"/>
    <x v="3"/>
  </r>
  <r>
    <n v="34"/>
    <x v="1"/>
    <x v="2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1"/>
    <m/>
    <m/>
    <s v="6-10 Years"/>
    <x v="2"/>
  </r>
  <r>
    <n v="37"/>
    <x v="1"/>
    <x v="0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1"/>
    <m/>
    <m/>
    <s v="0-2 Years"/>
    <x v="0"/>
  </r>
  <r>
    <n v="46"/>
    <x v="1"/>
    <x v="1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1"/>
    <m/>
    <m/>
    <s v="6-10 Years"/>
    <x v="0"/>
  </r>
  <r>
    <n v="35"/>
    <x v="1"/>
    <x v="0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1"/>
    <m/>
    <m/>
    <s v="0-2 Years"/>
    <x v="0"/>
  </r>
  <r>
    <n v="48"/>
    <x v="0"/>
    <x v="0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m/>
    <m/>
    <s v="0-2 Years"/>
    <x v="0"/>
  </r>
  <r>
    <n v="28"/>
    <x v="0"/>
    <x v="0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m/>
    <m/>
    <s v="0-2 Years"/>
    <x v="0"/>
  </r>
  <r>
    <n v="44"/>
    <x v="1"/>
    <x v="0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1"/>
    <m/>
    <m/>
    <s v="3-5 Years"/>
    <x v="0"/>
  </r>
  <r>
    <n v="35"/>
    <x v="1"/>
    <x v="2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1"/>
    <m/>
    <m/>
    <s v="3-5 Years"/>
    <x v="0"/>
  </r>
  <r>
    <n v="26"/>
    <x v="1"/>
    <x v="0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1"/>
    <m/>
    <m/>
    <s v="0-2 Years"/>
    <x v="0"/>
  </r>
  <r>
    <n v="33"/>
    <x v="1"/>
    <x v="1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1"/>
    <m/>
    <m/>
    <s v="11-15 Years"/>
    <x v="2"/>
  </r>
  <r>
    <n v="35"/>
    <x v="1"/>
    <x v="1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1"/>
    <m/>
    <m/>
    <s v="6-10 Years"/>
    <x v="0"/>
  </r>
  <r>
    <n v="35"/>
    <x v="1"/>
    <x v="0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1"/>
    <m/>
    <m/>
    <s v="0-2 Years"/>
    <x v="0"/>
  </r>
  <r>
    <n v="31"/>
    <x v="1"/>
    <x v="0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1"/>
    <m/>
    <m/>
    <s v="6-10 Years"/>
    <x v="0"/>
  </r>
  <r>
    <n v="37"/>
    <x v="1"/>
    <x v="0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1"/>
    <m/>
    <m/>
    <s v="6-10 Years"/>
    <x v="0"/>
  </r>
  <r>
    <n v="32"/>
    <x v="1"/>
    <x v="0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1"/>
    <m/>
    <m/>
    <s v="6-10 Years"/>
    <x v="2"/>
  </r>
  <r>
    <n v="38"/>
    <x v="1"/>
    <x v="1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1"/>
    <m/>
    <m/>
    <s v="6-10 Years"/>
    <x v="2"/>
  </r>
  <r>
    <n v="50"/>
    <x v="1"/>
    <x v="0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1"/>
    <m/>
    <m/>
    <s v="21+ Years"/>
    <x v="3"/>
  </r>
  <r>
    <n v="59"/>
    <x v="1"/>
    <x v="0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1"/>
    <m/>
    <m/>
    <s v="21+ Years"/>
    <x v="2"/>
  </r>
  <r>
    <n v="36"/>
    <x v="1"/>
    <x v="0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1"/>
    <m/>
    <m/>
    <s v="16-20 Years"/>
    <x v="3"/>
  </r>
  <r>
    <n v="55"/>
    <x v="1"/>
    <x v="0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1"/>
    <m/>
    <m/>
    <s v="3-5 Years"/>
    <x v="0"/>
  </r>
  <r>
    <n v="36"/>
    <x v="1"/>
    <x v="1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1"/>
    <m/>
    <m/>
    <s v="6-10 Years"/>
    <x v="0"/>
  </r>
  <r>
    <n v="45"/>
    <x v="1"/>
    <x v="0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1"/>
    <m/>
    <m/>
    <s v="0-2 Years"/>
    <x v="0"/>
  </r>
  <r>
    <n v="35"/>
    <x v="1"/>
    <x v="1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1"/>
    <m/>
    <m/>
    <s v="3-5 Years"/>
    <x v="0"/>
  </r>
  <r>
    <n v="36"/>
    <x v="0"/>
    <x v="0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m/>
    <m/>
    <s v="0-2 Years"/>
    <x v="0"/>
  </r>
  <r>
    <n v="59"/>
    <x v="1"/>
    <x v="1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1"/>
    <m/>
    <m/>
    <s v="3-5 Years"/>
    <x v="0"/>
  </r>
  <r>
    <n v="29"/>
    <x v="1"/>
    <x v="0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1"/>
    <m/>
    <m/>
    <s v="3-5 Years"/>
    <x v="0"/>
  </r>
  <r>
    <n v="31"/>
    <x v="1"/>
    <x v="0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1"/>
    <m/>
    <m/>
    <s v="0-2 Years"/>
    <x v="0"/>
  </r>
  <r>
    <n v="32"/>
    <x v="1"/>
    <x v="0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1"/>
    <m/>
    <m/>
    <s v="6-10 Years"/>
    <x v="0"/>
  </r>
  <r>
    <n v="36"/>
    <x v="1"/>
    <x v="0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1"/>
    <m/>
    <m/>
    <s v="0-2 Years"/>
    <x v="0"/>
  </r>
  <r>
    <n v="31"/>
    <x v="1"/>
    <x v="0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1"/>
    <m/>
    <m/>
    <s v="11-15 Years"/>
    <x v="0"/>
  </r>
  <r>
    <n v="35"/>
    <x v="1"/>
    <x v="0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1"/>
    <m/>
    <m/>
    <s v="11-15 Years"/>
    <x v="0"/>
  </r>
  <r>
    <n v="45"/>
    <x v="1"/>
    <x v="0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1"/>
    <m/>
    <m/>
    <s v="0-2 Years"/>
    <x v="0"/>
  </r>
  <r>
    <n v="37"/>
    <x v="1"/>
    <x v="0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1"/>
    <m/>
    <m/>
    <s v="3-5 Years"/>
    <x v="0"/>
  </r>
  <r>
    <n v="46"/>
    <x v="1"/>
    <x v="0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1"/>
    <m/>
    <m/>
    <s v="3-5 Years"/>
    <x v="0"/>
  </r>
  <r>
    <n v="30"/>
    <x v="1"/>
    <x v="0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1"/>
    <m/>
    <m/>
    <s v="6-10 Years"/>
    <x v="1"/>
  </r>
  <r>
    <n v="35"/>
    <x v="1"/>
    <x v="0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1"/>
    <m/>
    <m/>
    <s v="6-10 Years"/>
    <x v="0"/>
  </r>
  <r>
    <n v="55"/>
    <x v="1"/>
    <x v="0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1"/>
    <m/>
    <m/>
    <s v="0-2 Years"/>
    <x v="0"/>
  </r>
  <r>
    <n v="38"/>
    <x v="1"/>
    <x v="2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1"/>
    <m/>
    <m/>
    <s v="11-15 Years"/>
    <x v="0"/>
  </r>
  <r>
    <n v="34"/>
    <x v="1"/>
    <x v="0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1"/>
    <m/>
    <m/>
    <s v="3-5 Years"/>
    <x v="0"/>
  </r>
  <r>
    <n v="56"/>
    <x v="1"/>
    <x v="0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1"/>
    <m/>
    <m/>
    <s v="6-10 Years"/>
    <x v="0"/>
  </r>
  <r>
    <n v="23"/>
    <x v="1"/>
    <x v="0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1"/>
    <m/>
    <m/>
    <s v="0-2 Years"/>
    <x v="0"/>
  </r>
  <r>
    <n v="51"/>
    <x v="1"/>
    <x v="0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1"/>
    <m/>
    <m/>
    <s v="3-5 Years"/>
    <x v="0"/>
  </r>
  <r>
    <n v="30"/>
    <x v="1"/>
    <x v="0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1"/>
    <m/>
    <m/>
    <s v="11-15 Years"/>
    <x v="2"/>
  </r>
  <r>
    <n v="46"/>
    <x v="0"/>
    <x v="0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m/>
    <m/>
    <s v="6-10 Years"/>
    <x v="1"/>
  </r>
  <r>
    <n v="40"/>
    <x v="1"/>
    <x v="1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1"/>
    <m/>
    <m/>
    <s v="21+ Years"/>
    <x v="3"/>
  </r>
  <r>
    <n v="51"/>
    <x v="1"/>
    <x v="0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1"/>
    <m/>
    <m/>
    <s v="6-10 Years"/>
    <x v="0"/>
  </r>
  <r>
    <n v="30"/>
    <x v="1"/>
    <x v="0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1"/>
    <m/>
    <m/>
    <s v="11-15 Years"/>
    <x v="0"/>
  </r>
  <r>
    <n v="46"/>
    <x v="1"/>
    <x v="1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1"/>
    <m/>
    <m/>
    <s v="6-10 Years"/>
    <x v="2"/>
  </r>
  <r>
    <n v="32"/>
    <x v="1"/>
    <x v="0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1"/>
    <m/>
    <m/>
    <s v="11-15 Years"/>
    <x v="1"/>
  </r>
  <r>
    <n v="54"/>
    <x v="1"/>
    <x v="0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1"/>
    <m/>
    <m/>
    <s v="3-5 Years"/>
    <x v="0"/>
  </r>
  <r>
    <n v="24"/>
    <x v="1"/>
    <x v="0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1"/>
    <m/>
    <m/>
    <s v="3-5 Years"/>
    <x v="0"/>
  </r>
  <r>
    <n v="28"/>
    <x v="1"/>
    <x v="2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1"/>
    <m/>
    <m/>
    <s v="3-5 Years"/>
    <x v="0"/>
  </r>
  <r>
    <n v="58"/>
    <x v="1"/>
    <x v="0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1"/>
    <m/>
    <m/>
    <s v="21+ Years"/>
    <x v="0"/>
  </r>
  <r>
    <n v="44"/>
    <x v="1"/>
    <x v="2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1"/>
    <m/>
    <m/>
    <s v="3-5 Years"/>
    <x v="0"/>
  </r>
  <r>
    <n v="37"/>
    <x v="0"/>
    <x v="0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m/>
    <m/>
    <s v="3-5 Years"/>
    <x v="0"/>
  </r>
  <r>
    <n v="32"/>
    <x v="1"/>
    <x v="0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1"/>
    <m/>
    <m/>
    <s v="0-2 Years"/>
    <x v="0"/>
  </r>
  <r>
    <n v="20"/>
    <x v="0"/>
    <x v="1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m/>
    <m/>
    <s v="0-2 Years"/>
    <x v="0"/>
  </r>
  <r>
    <n v="34"/>
    <x v="1"/>
    <x v="0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1"/>
    <m/>
    <m/>
    <s v="16-20 Years"/>
    <x v="0"/>
  </r>
  <r>
    <n v="37"/>
    <x v="1"/>
    <x v="2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1"/>
    <m/>
    <m/>
    <s v="0-2 Years"/>
    <x v="0"/>
  </r>
  <r>
    <n v="59"/>
    <x v="1"/>
    <x v="2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1"/>
    <m/>
    <m/>
    <s v="3-5 Years"/>
    <x v="0"/>
  </r>
  <r>
    <n v="50"/>
    <x v="1"/>
    <x v="1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1"/>
    <m/>
    <m/>
    <s v="6-10 Years"/>
    <x v="0"/>
  </r>
  <r>
    <n v="25"/>
    <x v="0"/>
    <x v="0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m/>
    <m/>
    <s v="6-10 Years"/>
    <x v="0"/>
  </r>
  <r>
    <n v="25"/>
    <x v="1"/>
    <x v="0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1"/>
    <m/>
    <m/>
    <s v="0-2 Years"/>
    <x v="0"/>
  </r>
  <r>
    <n v="22"/>
    <x v="1"/>
    <x v="0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1"/>
    <m/>
    <m/>
    <s v="0-2 Years"/>
    <x v="0"/>
  </r>
  <r>
    <n v="51"/>
    <x v="1"/>
    <x v="1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1"/>
    <m/>
    <m/>
    <s v="11-15 Years"/>
    <x v="3"/>
  </r>
  <r>
    <n v="34"/>
    <x v="0"/>
    <x v="1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m/>
    <m/>
    <s v="6-10 Years"/>
    <x v="0"/>
  </r>
  <r>
    <n v="54"/>
    <x v="1"/>
    <x v="2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1"/>
    <m/>
    <m/>
    <s v="3-5 Years"/>
    <x v="1"/>
  </r>
  <r>
    <n v="24"/>
    <x v="1"/>
    <x v="0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1"/>
    <m/>
    <m/>
    <s v="3-5 Years"/>
    <x v="0"/>
  </r>
  <r>
    <n v="34"/>
    <x v="1"/>
    <x v="0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1"/>
    <m/>
    <m/>
    <s v="0-2 Years"/>
    <x v="0"/>
  </r>
  <r>
    <n v="37"/>
    <x v="1"/>
    <x v="0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1"/>
    <m/>
    <m/>
    <s v="3-5 Years"/>
    <x v="0"/>
  </r>
  <r>
    <n v="34"/>
    <x v="1"/>
    <x v="0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1"/>
    <m/>
    <m/>
    <s v="11-15 Years"/>
    <x v="1"/>
  </r>
  <r>
    <n v="36"/>
    <x v="1"/>
    <x v="1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1"/>
    <m/>
    <m/>
    <s v="6-10 Years"/>
    <x v="0"/>
  </r>
  <r>
    <n v="36"/>
    <x v="1"/>
    <x v="0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1"/>
    <m/>
    <m/>
    <s v="0-2 Years"/>
    <x v="0"/>
  </r>
  <r>
    <n v="43"/>
    <x v="1"/>
    <x v="1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1"/>
    <m/>
    <m/>
    <s v="21+ Years"/>
    <x v="1"/>
  </r>
  <r>
    <n v="30"/>
    <x v="1"/>
    <x v="1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1"/>
    <m/>
    <m/>
    <s v="6-10 Years"/>
    <x v="0"/>
  </r>
  <r>
    <n v="33"/>
    <x v="1"/>
    <x v="2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1"/>
    <m/>
    <m/>
    <s v="6-10 Years"/>
    <x v="0"/>
  </r>
  <r>
    <n v="56"/>
    <x v="0"/>
    <x v="0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m/>
    <m/>
    <s v="3-5 Years"/>
    <x v="1"/>
  </r>
  <r>
    <n v="51"/>
    <x v="1"/>
    <x v="0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1"/>
    <m/>
    <m/>
    <s v="16-20 Years"/>
    <x v="3"/>
  </r>
  <r>
    <n v="31"/>
    <x v="0"/>
    <x v="0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m/>
    <m/>
    <s v="6-10 Years"/>
    <x v="2"/>
  </r>
  <r>
    <n v="26"/>
    <x v="1"/>
    <x v="0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1"/>
    <m/>
    <m/>
    <s v="3-5 Years"/>
    <x v="1"/>
  </r>
  <r>
    <n v="58"/>
    <x v="0"/>
    <x v="0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m/>
    <m/>
    <s v="21+ Years"/>
    <x v="3"/>
  </r>
  <r>
    <n v="19"/>
    <x v="0"/>
    <x v="0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m/>
    <m/>
    <s v="0-2 Years"/>
    <x v="0"/>
  </r>
  <r>
    <n v="22"/>
    <x v="1"/>
    <x v="0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1"/>
    <m/>
    <m/>
    <s v="0-2 Years"/>
    <x v="0"/>
  </r>
  <r>
    <n v="49"/>
    <x v="1"/>
    <x v="0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1"/>
    <m/>
    <m/>
    <s v="11-15 Years"/>
    <x v="1"/>
  </r>
  <r>
    <n v="43"/>
    <x v="1"/>
    <x v="1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1"/>
    <m/>
    <m/>
    <s v="3-5 Years"/>
    <x v="0"/>
  </r>
  <r>
    <n v="50"/>
    <x v="1"/>
    <x v="1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1"/>
    <m/>
    <m/>
    <s v="0-2 Years"/>
    <x v="0"/>
  </r>
  <r>
    <n v="31"/>
    <x v="0"/>
    <x v="0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m/>
    <m/>
    <s v="0-2 Years"/>
    <x v="0"/>
  </r>
  <r>
    <n v="41"/>
    <x v="1"/>
    <x v="0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1"/>
    <m/>
    <m/>
    <s v="6-10 Years"/>
    <x v="0"/>
  </r>
  <r>
    <n v="26"/>
    <x v="1"/>
    <x v="0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1"/>
    <m/>
    <m/>
    <s v="6-10 Years"/>
    <x v="1"/>
  </r>
  <r>
    <n v="36"/>
    <x v="1"/>
    <x v="0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1"/>
    <m/>
    <m/>
    <s v="3-5 Years"/>
    <x v="0"/>
  </r>
  <r>
    <n v="51"/>
    <x v="0"/>
    <x v="1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m/>
    <m/>
    <s v="3-5 Years"/>
    <x v="0"/>
  </r>
  <r>
    <n v="39"/>
    <x v="1"/>
    <x v="0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1"/>
    <m/>
    <m/>
    <s v="11-15 Years"/>
    <x v="1"/>
  </r>
  <r>
    <n v="25"/>
    <x v="1"/>
    <x v="0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1"/>
    <m/>
    <m/>
    <s v="0-2 Years"/>
    <x v="0"/>
  </r>
  <r>
    <n v="30"/>
    <x v="1"/>
    <x v="0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1"/>
    <m/>
    <m/>
    <s v="11-15 Years"/>
    <x v="1"/>
  </r>
  <r>
    <n v="32"/>
    <x v="0"/>
    <x v="0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m/>
    <m/>
    <s v="3-5 Years"/>
    <x v="0"/>
  </r>
  <r>
    <n v="45"/>
    <x v="1"/>
    <x v="0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1"/>
    <m/>
    <m/>
    <s v="6-10 Years"/>
    <x v="0"/>
  </r>
  <r>
    <n v="38"/>
    <x v="1"/>
    <x v="0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1"/>
    <m/>
    <m/>
    <s v="3-5 Years"/>
    <x v="0"/>
  </r>
  <r>
    <n v="30"/>
    <x v="1"/>
    <x v="0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1"/>
    <m/>
    <m/>
    <s v="3-5 Years"/>
    <x v="0"/>
  </r>
  <r>
    <n v="32"/>
    <x v="1"/>
    <x v="1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1"/>
    <m/>
    <m/>
    <s v="6-10 Years"/>
    <x v="0"/>
  </r>
  <r>
    <n v="30"/>
    <x v="1"/>
    <x v="0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1"/>
    <m/>
    <m/>
    <s v="3-5 Years"/>
    <x v="0"/>
  </r>
  <r>
    <n v="30"/>
    <x v="1"/>
    <x v="0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1"/>
    <m/>
    <m/>
    <s v="3-5 Years"/>
    <x v="0"/>
  </r>
  <r>
    <n v="41"/>
    <x v="1"/>
    <x v="1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1"/>
    <m/>
    <m/>
    <s v="6-10 Years"/>
    <x v="2"/>
  </r>
  <r>
    <n v="41"/>
    <x v="1"/>
    <x v="0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1"/>
    <m/>
    <m/>
    <s v="3-5 Years"/>
    <x v="0"/>
  </r>
  <r>
    <n v="19"/>
    <x v="1"/>
    <x v="0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1"/>
    <m/>
    <m/>
    <s v="0-2 Years"/>
    <x v="0"/>
  </r>
  <r>
    <n v="40"/>
    <x v="1"/>
    <x v="1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1"/>
    <m/>
    <m/>
    <s v="16-20 Years"/>
    <x v="0"/>
  </r>
  <r>
    <n v="35"/>
    <x v="1"/>
    <x v="0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1"/>
    <m/>
    <m/>
    <s v="6-10 Years"/>
    <x v="0"/>
  </r>
  <r>
    <n v="53"/>
    <x v="1"/>
    <x v="0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1"/>
    <m/>
    <m/>
    <s v="6-10 Years"/>
    <x v="1"/>
  </r>
  <r>
    <n v="45"/>
    <x v="1"/>
    <x v="0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1"/>
    <m/>
    <m/>
    <s v="16-20 Years"/>
    <x v="0"/>
  </r>
  <r>
    <n v="32"/>
    <x v="1"/>
    <x v="1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1"/>
    <m/>
    <m/>
    <s v="6-10 Years"/>
    <x v="1"/>
  </r>
  <r>
    <n v="29"/>
    <x v="1"/>
    <x v="2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1"/>
    <m/>
    <m/>
    <s v="6-10 Years"/>
    <x v="0"/>
  </r>
  <r>
    <n v="51"/>
    <x v="1"/>
    <x v="0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1"/>
    <m/>
    <m/>
    <s v="0-2 Years"/>
    <x v="0"/>
  </r>
  <r>
    <n v="58"/>
    <x v="1"/>
    <x v="0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1"/>
    <m/>
    <m/>
    <s v="0-2 Years"/>
    <x v="0"/>
  </r>
  <r>
    <n v="40"/>
    <x v="1"/>
    <x v="0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1"/>
    <m/>
    <m/>
    <s v="11-15 Years"/>
    <x v="0"/>
  </r>
  <r>
    <n v="34"/>
    <x v="1"/>
    <x v="1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1"/>
    <m/>
    <m/>
    <s v="3-5 Years"/>
    <x v="0"/>
  </r>
  <r>
    <n v="22"/>
    <x v="1"/>
    <x v="0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1"/>
    <m/>
    <m/>
    <s v="0-2 Years"/>
    <x v="0"/>
  </r>
  <r>
    <n v="27"/>
    <x v="1"/>
    <x v="2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1"/>
    <m/>
    <m/>
    <s v="0-2 Years"/>
    <x v="0"/>
  </r>
  <r>
    <n v="28"/>
    <x v="1"/>
    <x v="0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1"/>
    <m/>
    <m/>
    <s v="3-5 Years"/>
    <x v="0"/>
  </r>
  <r>
    <n v="57"/>
    <x v="1"/>
    <x v="0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1"/>
    <m/>
    <m/>
    <s v="3-5 Years"/>
    <x v="0"/>
  </r>
  <r>
    <n v="27"/>
    <x v="1"/>
    <x v="2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1"/>
    <m/>
    <m/>
    <s v="0-2 Years"/>
    <x v="0"/>
  </r>
  <r>
    <n v="50"/>
    <x v="1"/>
    <x v="0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1"/>
    <m/>
    <m/>
    <s v="3-5 Years"/>
    <x v="1"/>
  </r>
  <r>
    <n v="41"/>
    <x v="1"/>
    <x v="0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1"/>
    <m/>
    <m/>
    <s v="6-10 Years"/>
    <x v="0"/>
  </r>
  <r>
    <n v="30"/>
    <x v="1"/>
    <x v="0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1"/>
    <m/>
    <m/>
    <s v="6-10 Years"/>
    <x v="2"/>
  </r>
  <r>
    <n v="38"/>
    <x v="1"/>
    <x v="0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1"/>
    <m/>
    <m/>
    <s v="6-10 Years"/>
    <x v="0"/>
  </r>
  <r>
    <n v="32"/>
    <x v="1"/>
    <x v="0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1"/>
    <m/>
    <m/>
    <s v="3-5 Years"/>
    <x v="0"/>
  </r>
  <r>
    <n v="27"/>
    <x v="1"/>
    <x v="0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1"/>
    <m/>
    <m/>
    <s v="3-5 Years"/>
    <x v="0"/>
  </r>
  <r>
    <n v="19"/>
    <x v="0"/>
    <x v="1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m/>
    <m/>
    <s v="0-2 Years"/>
    <x v="0"/>
  </r>
  <r>
    <n v="36"/>
    <x v="1"/>
    <x v="1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1"/>
    <m/>
    <m/>
    <s v="6-10 Years"/>
    <x v="2"/>
  </r>
  <r>
    <n v="30"/>
    <x v="1"/>
    <x v="2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1"/>
    <m/>
    <m/>
    <s v="11-15 Years"/>
    <x v="2"/>
  </r>
  <r>
    <n v="45"/>
    <x v="1"/>
    <x v="0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1"/>
    <m/>
    <m/>
    <s v="3-5 Years"/>
    <x v="0"/>
  </r>
  <r>
    <n v="56"/>
    <x v="1"/>
    <x v="0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1"/>
    <m/>
    <m/>
    <s v="0-2 Years"/>
    <x v="0"/>
  </r>
  <r>
    <n v="33"/>
    <x v="1"/>
    <x v="0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1"/>
    <m/>
    <m/>
    <s v="3-5 Years"/>
    <x v="0"/>
  </r>
  <r>
    <n v="19"/>
    <x v="0"/>
    <x v="0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m/>
    <m/>
    <s v="0-2 Years"/>
    <x v="0"/>
  </r>
  <r>
    <n v="46"/>
    <x v="1"/>
    <x v="0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1"/>
    <m/>
    <m/>
    <s v="21+ Years"/>
    <x v="3"/>
  </r>
  <r>
    <n v="38"/>
    <x v="1"/>
    <x v="0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1"/>
    <m/>
    <m/>
    <s v="0-2 Years"/>
    <x v="0"/>
  </r>
  <r>
    <n v="31"/>
    <x v="1"/>
    <x v="0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1"/>
    <m/>
    <m/>
    <s v="3-5 Years"/>
    <x v="0"/>
  </r>
  <r>
    <n v="34"/>
    <x v="1"/>
    <x v="0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1"/>
    <m/>
    <m/>
    <s v="3-5 Years"/>
    <x v="0"/>
  </r>
  <r>
    <n v="41"/>
    <x v="0"/>
    <x v="0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m/>
    <m/>
    <s v="3-5 Years"/>
    <x v="0"/>
  </r>
  <r>
    <n v="50"/>
    <x v="1"/>
    <x v="0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1"/>
    <m/>
    <m/>
    <s v="3-5 Years"/>
    <x v="0"/>
  </r>
  <r>
    <n v="53"/>
    <x v="1"/>
    <x v="0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1"/>
    <m/>
    <m/>
    <s v="3-5 Years"/>
    <x v="0"/>
  </r>
  <r>
    <n v="33"/>
    <x v="1"/>
    <x v="0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1"/>
    <m/>
    <m/>
    <s v="6-10 Years"/>
    <x v="0"/>
  </r>
  <r>
    <n v="40"/>
    <x v="1"/>
    <x v="0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1"/>
    <m/>
    <m/>
    <s v="16-20 Years"/>
    <x v="2"/>
  </r>
  <r>
    <n v="55"/>
    <x v="1"/>
    <x v="0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1"/>
    <m/>
    <m/>
    <s v="21+ Years"/>
    <x v="0"/>
  </r>
  <r>
    <n v="34"/>
    <x v="1"/>
    <x v="1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1"/>
    <m/>
    <m/>
    <s v="6-10 Years"/>
    <x v="0"/>
  </r>
  <r>
    <n v="51"/>
    <x v="1"/>
    <x v="0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1"/>
    <m/>
    <m/>
    <s v="6-10 Years"/>
    <x v="0"/>
  </r>
  <r>
    <n v="52"/>
    <x v="1"/>
    <x v="0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1"/>
    <m/>
    <m/>
    <s v="21+ Years"/>
    <x v="3"/>
  </r>
  <r>
    <n v="27"/>
    <x v="1"/>
    <x v="0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1"/>
    <m/>
    <m/>
    <s v="6-10 Years"/>
    <x v="0"/>
  </r>
  <r>
    <n v="35"/>
    <x v="0"/>
    <x v="0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m/>
    <m/>
    <s v="0-2 Years"/>
    <x v="0"/>
  </r>
  <r>
    <n v="43"/>
    <x v="1"/>
    <x v="2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1"/>
    <m/>
    <m/>
    <s v="3-5 Years"/>
    <x v="0"/>
  </r>
  <r>
    <n v="45"/>
    <x v="1"/>
    <x v="2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1"/>
    <m/>
    <m/>
    <s v="16-20 Years"/>
    <x v="3"/>
  </r>
  <r>
    <n v="37"/>
    <x v="1"/>
    <x v="0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1"/>
    <m/>
    <m/>
    <s v="6-10 Years"/>
    <x v="0"/>
  </r>
  <r>
    <n v="35"/>
    <x v="1"/>
    <x v="1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1"/>
    <m/>
    <m/>
    <s v="6-10 Years"/>
    <x v="0"/>
  </r>
  <r>
    <n v="42"/>
    <x v="1"/>
    <x v="2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1"/>
    <m/>
    <m/>
    <s v="3-5 Years"/>
    <x v="0"/>
  </r>
  <r>
    <n v="38"/>
    <x v="1"/>
    <x v="0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1"/>
    <m/>
    <m/>
    <s v="0-2 Years"/>
    <x v="0"/>
  </r>
  <r>
    <n v="38"/>
    <x v="1"/>
    <x v="0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1"/>
    <m/>
    <m/>
    <s v="6-10 Years"/>
    <x v="0"/>
  </r>
  <r>
    <n v="27"/>
    <x v="1"/>
    <x v="1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1"/>
    <m/>
    <m/>
    <s v="0-2 Years"/>
    <x v="0"/>
  </r>
  <r>
    <n v="49"/>
    <x v="1"/>
    <x v="2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1"/>
    <m/>
    <m/>
    <s v="6-10 Years"/>
    <x v="0"/>
  </r>
  <r>
    <n v="34"/>
    <x v="1"/>
    <x v="1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1"/>
    <m/>
    <m/>
    <s v="3-5 Years"/>
    <x v="0"/>
  </r>
  <r>
    <n v="40"/>
    <x v="1"/>
    <x v="0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1"/>
    <m/>
    <m/>
    <s v="6-10 Years"/>
    <x v="1"/>
  </r>
  <r>
    <n v="38"/>
    <x v="0"/>
    <x v="0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m/>
    <m/>
    <s v="0-2 Years"/>
    <x v="0"/>
  </r>
  <r>
    <n v="29"/>
    <x v="0"/>
    <x v="0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m/>
    <m/>
    <s v="6-10 Years"/>
    <x v="0"/>
  </r>
  <r>
    <n v="22"/>
    <x v="1"/>
    <x v="0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1"/>
    <m/>
    <m/>
    <s v="3-5 Years"/>
    <x v="0"/>
  </r>
  <r>
    <n v="36"/>
    <x v="1"/>
    <x v="1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1"/>
    <m/>
    <m/>
    <s v="6-10 Years"/>
    <x v="0"/>
  </r>
  <r>
    <n v="40"/>
    <x v="1"/>
    <x v="2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1"/>
    <m/>
    <m/>
    <s v="3-5 Years"/>
    <x v="0"/>
  </r>
  <r>
    <n v="46"/>
    <x v="1"/>
    <x v="0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1"/>
    <m/>
    <m/>
    <s v="3-5 Years"/>
    <x v="0"/>
  </r>
  <r>
    <n v="32"/>
    <x v="0"/>
    <x v="0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m/>
    <m/>
    <s v="11-15 Years"/>
    <x v="2"/>
  </r>
  <r>
    <n v="30"/>
    <x v="1"/>
    <x v="2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1"/>
    <m/>
    <m/>
    <s v="11-15 Years"/>
    <x v="1"/>
  </r>
  <r>
    <n v="27"/>
    <x v="1"/>
    <x v="1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1"/>
    <m/>
    <m/>
    <s v="6-10 Years"/>
    <x v="0"/>
  </r>
  <r>
    <n v="51"/>
    <x v="1"/>
    <x v="0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1"/>
    <m/>
    <m/>
    <s v="6-10 Years"/>
    <x v="1"/>
  </r>
  <r>
    <n v="30"/>
    <x v="0"/>
    <x v="0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m/>
    <m/>
    <s v="3-5 Years"/>
    <x v="0"/>
  </r>
  <r>
    <n v="41"/>
    <x v="1"/>
    <x v="0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1"/>
    <m/>
    <m/>
    <s v="0-2 Years"/>
    <x v="0"/>
  </r>
  <r>
    <n v="30"/>
    <x v="0"/>
    <x v="1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m/>
    <m/>
    <s v="6-10 Years"/>
    <x v="0"/>
  </r>
  <r>
    <n v="29"/>
    <x v="0"/>
    <x v="0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m/>
    <m/>
    <s v="6-10 Years"/>
    <x v="0"/>
  </r>
  <r>
    <n v="45"/>
    <x v="1"/>
    <x v="2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1"/>
    <m/>
    <m/>
    <s v="16-20 Years"/>
    <x v="3"/>
  </r>
  <r>
    <n v="54"/>
    <x v="1"/>
    <x v="0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1"/>
    <m/>
    <m/>
    <s v="6-10 Years"/>
    <x v="0"/>
  </r>
  <r>
    <n v="36"/>
    <x v="1"/>
    <x v="0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1"/>
    <m/>
    <m/>
    <s v="11-15 Years"/>
    <x v="1"/>
  </r>
  <r>
    <n v="33"/>
    <x v="1"/>
    <x v="0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1"/>
    <m/>
    <m/>
    <s v="3-5 Years"/>
    <x v="0"/>
  </r>
  <r>
    <n v="37"/>
    <x v="1"/>
    <x v="1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1"/>
    <m/>
    <m/>
    <s v="6-10 Years"/>
    <x v="0"/>
  </r>
  <r>
    <n v="38"/>
    <x v="1"/>
    <x v="0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1"/>
    <m/>
    <m/>
    <s v="16-20 Years"/>
    <x v="1"/>
  </r>
  <r>
    <n v="31"/>
    <x v="1"/>
    <x v="2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1"/>
    <m/>
    <m/>
    <s v="3-5 Years"/>
    <x v="0"/>
  </r>
  <r>
    <n v="59"/>
    <x v="1"/>
    <x v="0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1"/>
    <m/>
    <m/>
    <s v="0-2 Years"/>
    <x v="0"/>
  </r>
  <r>
    <n v="37"/>
    <x v="1"/>
    <x v="1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1"/>
    <m/>
    <m/>
    <s v="6-10 Years"/>
    <x v="1"/>
  </r>
  <r>
    <n v="29"/>
    <x v="1"/>
    <x v="1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1"/>
    <m/>
    <m/>
    <s v="11-15 Years"/>
    <x v="1"/>
  </r>
  <r>
    <n v="35"/>
    <x v="1"/>
    <x v="1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1"/>
    <m/>
    <m/>
    <s v="6-10 Years"/>
    <x v="0"/>
  </r>
  <r>
    <n v="29"/>
    <x v="0"/>
    <x v="0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m/>
    <m/>
    <s v="3-5 Years"/>
    <x v="0"/>
  </r>
  <r>
    <n v="52"/>
    <x v="1"/>
    <x v="0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1"/>
    <m/>
    <m/>
    <s v="0-2 Years"/>
    <x v="0"/>
  </r>
  <r>
    <n v="42"/>
    <x v="1"/>
    <x v="0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1"/>
    <m/>
    <m/>
    <s v="21+ Years"/>
    <x v="3"/>
  </r>
  <r>
    <n v="59"/>
    <x v="1"/>
    <x v="0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1"/>
    <m/>
    <m/>
    <s v="0-2 Years"/>
    <x v="0"/>
  </r>
  <r>
    <n v="50"/>
    <x v="1"/>
    <x v="0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1"/>
    <m/>
    <m/>
    <s v="6-10 Years"/>
    <x v="0"/>
  </r>
  <r>
    <n v="33"/>
    <x v="0"/>
    <x v="0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m/>
    <m/>
    <s v="3-5 Years"/>
    <x v="0"/>
  </r>
  <r>
    <n v="43"/>
    <x v="1"/>
    <x v="0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1"/>
    <m/>
    <m/>
    <s v="16-20 Years"/>
    <x v="0"/>
  </r>
  <r>
    <n v="33"/>
    <x v="0"/>
    <x v="0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m/>
    <m/>
    <s v="6-10 Years"/>
    <x v="0"/>
  </r>
  <r>
    <n v="52"/>
    <x v="1"/>
    <x v="2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1"/>
    <m/>
    <m/>
    <s v="21+ Years"/>
    <x v="3"/>
  </r>
  <r>
    <n v="32"/>
    <x v="1"/>
    <x v="0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1"/>
    <m/>
    <m/>
    <s v="3-5 Years"/>
    <x v="0"/>
  </r>
  <r>
    <n v="32"/>
    <x v="0"/>
    <x v="0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m/>
    <m/>
    <s v="3-5 Years"/>
    <x v="0"/>
  </r>
  <r>
    <n v="39"/>
    <x v="1"/>
    <x v="0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1"/>
    <m/>
    <m/>
    <s v="3-5 Years"/>
    <x v="0"/>
  </r>
  <r>
    <n v="32"/>
    <x v="1"/>
    <x v="2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1"/>
    <m/>
    <m/>
    <s v="3-5 Years"/>
    <x v="0"/>
  </r>
  <r>
    <n v="41"/>
    <x v="1"/>
    <x v="0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1"/>
    <m/>
    <m/>
    <s v="0-2 Years"/>
    <x v="0"/>
  </r>
  <r>
    <n v="40"/>
    <x v="1"/>
    <x v="0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1"/>
    <m/>
    <m/>
    <s v="6-10 Years"/>
    <x v="1"/>
  </r>
  <r>
    <n v="45"/>
    <x v="1"/>
    <x v="0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1"/>
    <m/>
    <m/>
    <s v="21+ Years"/>
    <x v="0"/>
  </r>
  <r>
    <n v="31"/>
    <x v="1"/>
    <x v="1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1"/>
    <m/>
    <m/>
    <s v="0-2 Years"/>
    <x v="0"/>
  </r>
  <r>
    <n v="33"/>
    <x v="1"/>
    <x v="0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1"/>
    <m/>
    <m/>
    <s v="0-2 Years"/>
    <x v="0"/>
  </r>
  <r>
    <n v="34"/>
    <x v="1"/>
    <x v="0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1"/>
    <m/>
    <m/>
    <s v="11-15 Years"/>
    <x v="1"/>
  </r>
  <r>
    <n v="37"/>
    <x v="1"/>
    <x v="0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1"/>
    <m/>
    <m/>
    <s v="3-5 Years"/>
    <x v="0"/>
  </r>
  <r>
    <n v="45"/>
    <x v="1"/>
    <x v="1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1"/>
    <m/>
    <m/>
    <s v="3-5 Years"/>
    <x v="0"/>
  </r>
  <r>
    <n v="37"/>
    <x v="0"/>
    <x v="1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m/>
    <m/>
    <s v="0-2 Years"/>
    <x v="0"/>
  </r>
  <r>
    <n v="39"/>
    <x v="1"/>
    <x v="1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1"/>
    <m/>
    <m/>
    <s v="16-20 Years"/>
    <x v="3"/>
  </r>
  <r>
    <n v="29"/>
    <x v="1"/>
    <x v="0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1"/>
    <m/>
    <m/>
    <s v="6-10 Years"/>
    <x v="0"/>
  </r>
  <r>
    <n v="42"/>
    <x v="1"/>
    <x v="0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1"/>
    <m/>
    <m/>
    <s v="3-5 Years"/>
    <x v="0"/>
  </r>
  <r>
    <n v="29"/>
    <x v="1"/>
    <x v="0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1"/>
    <m/>
    <m/>
    <s v="3-5 Years"/>
    <x v="0"/>
  </r>
  <r>
    <n v="25"/>
    <x v="1"/>
    <x v="0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1"/>
    <m/>
    <m/>
    <s v="3-5 Years"/>
    <x v="0"/>
  </r>
  <r>
    <n v="42"/>
    <x v="1"/>
    <x v="0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1"/>
    <m/>
    <m/>
    <s v="6-10 Years"/>
    <x v="2"/>
  </r>
  <r>
    <n v="40"/>
    <x v="1"/>
    <x v="0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1"/>
    <m/>
    <m/>
    <s v="21+ Years"/>
    <x v="1"/>
  </r>
  <r>
    <n v="51"/>
    <x v="1"/>
    <x v="0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1"/>
    <m/>
    <m/>
    <s v="0-2 Years"/>
    <x v="0"/>
  </r>
  <r>
    <n v="31"/>
    <x v="0"/>
    <x v="1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m/>
    <m/>
    <s v="3-5 Years"/>
    <x v="0"/>
  </r>
  <r>
    <n v="32"/>
    <x v="1"/>
    <x v="1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1"/>
    <m/>
    <m/>
    <s v="3-5 Years"/>
    <x v="0"/>
  </r>
  <r>
    <n v="38"/>
    <x v="1"/>
    <x v="2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1"/>
    <m/>
    <m/>
    <s v="6-10 Years"/>
    <x v="2"/>
  </r>
  <r>
    <n v="32"/>
    <x v="1"/>
    <x v="0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1"/>
    <m/>
    <m/>
    <s v="6-10 Years"/>
    <x v="0"/>
  </r>
  <r>
    <n v="46"/>
    <x v="1"/>
    <x v="0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1"/>
    <m/>
    <m/>
    <s v="6-10 Years"/>
    <x v="2"/>
  </r>
  <r>
    <n v="28"/>
    <x v="0"/>
    <x v="0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m/>
    <m/>
    <s v="0-2 Years"/>
    <x v="0"/>
  </r>
  <r>
    <n v="29"/>
    <x v="1"/>
    <x v="0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1"/>
    <m/>
    <m/>
    <s v="0-2 Years"/>
    <x v="0"/>
  </r>
  <r>
    <n v="31"/>
    <x v="1"/>
    <x v="0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1"/>
    <m/>
    <m/>
    <s v="6-10 Years"/>
    <x v="2"/>
  </r>
  <r>
    <n v="25"/>
    <x v="1"/>
    <x v="2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1"/>
    <m/>
    <m/>
    <s v="6-10 Years"/>
    <x v="0"/>
  </r>
  <r>
    <n v="45"/>
    <x v="1"/>
    <x v="0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1"/>
    <m/>
    <m/>
    <s v="16-20 Years"/>
    <x v="1"/>
  </r>
  <r>
    <n v="36"/>
    <x v="1"/>
    <x v="0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1"/>
    <m/>
    <m/>
    <s v="11-15 Years"/>
    <x v="2"/>
  </r>
  <r>
    <n v="55"/>
    <x v="1"/>
    <x v="0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1"/>
    <m/>
    <m/>
    <s v="21+ Years"/>
    <x v="1"/>
  </r>
  <r>
    <n v="47"/>
    <x v="0"/>
    <x v="2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m/>
    <m/>
    <s v="6-10 Years"/>
    <x v="2"/>
  </r>
  <r>
    <n v="28"/>
    <x v="1"/>
    <x v="0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1"/>
    <m/>
    <m/>
    <s v="3-5 Years"/>
    <x v="0"/>
  </r>
  <r>
    <n v="37"/>
    <x v="1"/>
    <x v="0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1"/>
    <m/>
    <m/>
    <s v="3-5 Years"/>
    <x v="0"/>
  </r>
  <r>
    <n v="21"/>
    <x v="1"/>
    <x v="0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1"/>
    <m/>
    <m/>
    <s v="3-5 Years"/>
    <x v="0"/>
  </r>
  <r>
    <n v="37"/>
    <x v="1"/>
    <x v="2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1"/>
    <m/>
    <m/>
    <s v="3-5 Years"/>
    <x v="0"/>
  </r>
  <r>
    <n v="35"/>
    <x v="1"/>
    <x v="0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1"/>
    <m/>
    <m/>
    <s v="6-10 Years"/>
    <x v="2"/>
  </r>
  <r>
    <n v="38"/>
    <x v="1"/>
    <x v="0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1"/>
    <m/>
    <m/>
    <s v="6-10 Years"/>
    <x v="2"/>
  </r>
  <r>
    <n v="26"/>
    <x v="1"/>
    <x v="1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1"/>
    <m/>
    <m/>
    <s v="6-10 Years"/>
    <x v="0"/>
  </r>
  <r>
    <n v="50"/>
    <x v="1"/>
    <x v="0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1"/>
    <m/>
    <m/>
    <s v="6-10 Years"/>
    <x v="0"/>
  </r>
  <r>
    <n v="53"/>
    <x v="1"/>
    <x v="0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1"/>
    <m/>
    <m/>
    <s v="3-5 Years"/>
    <x v="0"/>
  </r>
  <r>
    <n v="42"/>
    <x v="1"/>
    <x v="0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1"/>
    <m/>
    <m/>
    <s v="16-20 Years"/>
    <x v="3"/>
  </r>
  <r>
    <n v="29"/>
    <x v="1"/>
    <x v="1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1"/>
    <m/>
    <m/>
    <s v="6-10 Years"/>
    <x v="0"/>
  </r>
  <r>
    <n v="55"/>
    <x v="1"/>
    <x v="0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1"/>
    <m/>
    <m/>
    <s v="6-10 Years"/>
    <x v="0"/>
  </r>
  <r>
    <n v="26"/>
    <x v="1"/>
    <x v="1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1"/>
    <m/>
    <m/>
    <s v="3-5 Years"/>
    <x v="1"/>
  </r>
  <r>
    <n v="37"/>
    <x v="1"/>
    <x v="0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1"/>
    <m/>
    <m/>
    <s v="16-20 Years"/>
    <x v="1"/>
  </r>
  <r>
    <n v="44"/>
    <x v="0"/>
    <x v="1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m/>
    <m/>
    <s v="0-2 Years"/>
    <x v="0"/>
  </r>
  <r>
    <n v="38"/>
    <x v="1"/>
    <x v="0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1"/>
    <m/>
    <m/>
    <s v="0-2 Years"/>
    <x v="0"/>
  </r>
  <r>
    <n v="26"/>
    <x v="0"/>
    <x v="0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m/>
    <m/>
    <s v="3-5 Years"/>
    <x v="0"/>
  </r>
  <r>
    <n v="28"/>
    <x v="1"/>
    <x v="0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1"/>
    <m/>
    <m/>
    <s v="3-5 Years"/>
    <x v="0"/>
  </r>
  <r>
    <n v="49"/>
    <x v="1"/>
    <x v="1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1"/>
    <m/>
    <m/>
    <s v="3-5 Years"/>
    <x v="0"/>
  </r>
  <r>
    <n v="36"/>
    <x v="1"/>
    <x v="0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1"/>
    <m/>
    <m/>
    <s v="6-10 Years"/>
    <x v="2"/>
  </r>
  <r>
    <n v="31"/>
    <x v="1"/>
    <x v="1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1"/>
    <m/>
    <m/>
    <s v="0-2 Years"/>
    <x v="0"/>
  </r>
  <r>
    <n v="26"/>
    <x v="0"/>
    <x v="0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m/>
    <m/>
    <s v="6-10 Years"/>
    <x v="2"/>
  </r>
  <r>
    <n v="37"/>
    <x v="1"/>
    <x v="1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1"/>
    <m/>
    <m/>
    <s v="3-5 Years"/>
    <x v="0"/>
  </r>
  <r>
    <n v="42"/>
    <x v="1"/>
    <x v="1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1"/>
    <m/>
    <m/>
    <s v="16-20 Years"/>
    <x v="1"/>
  </r>
  <r>
    <n v="18"/>
    <x v="0"/>
    <x v="0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m/>
    <m/>
    <s v="0-2 Years"/>
    <x v="0"/>
  </r>
  <r>
    <n v="35"/>
    <x v="1"/>
    <x v="0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1"/>
    <m/>
    <m/>
    <s v="11-15 Years"/>
    <x v="2"/>
  </r>
  <r>
    <n v="36"/>
    <x v="1"/>
    <x v="1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1"/>
    <m/>
    <m/>
    <s v="0-2 Years"/>
    <x v="0"/>
  </r>
  <r>
    <n v="51"/>
    <x v="1"/>
    <x v="0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1"/>
    <m/>
    <m/>
    <s v="3-5 Years"/>
    <x v="0"/>
  </r>
  <r>
    <n v="41"/>
    <x v="1"/>
    <x v="0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1"/>
    <m/>
    <m/>
    <s v="21+ Years"/>
    <x v="0"/>
  </r>
  <r>
    <n v="18"/>
    <x v="1"/>
    <x v="0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1"/>
    <m/>
    <m/>
    <s v="0-2 Years"/>
    <x v="0"/>
  </r>
  <r>
    <n v="28"/>
    <x v="1"/>
    <x v="0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1"/>
    <m/>
    <m/>
    <s v="6-10 Years"/>
    <x v="0"/>
  </r>
  <r>
    <n v="31"/>
    <x v="1"/>
    <x v="0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1"/>
    <m/>
    <m/>
    <s v="6-10 Years"/>
    <x v="2"/>
  </r>
  <r>
    <n v="39"/>
    <x v="1"/>
    <x v="0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1"/>
    <m/>
    <m/>
    <s v="16-20 Years"/>
    <x v="1"/>
  </r>
  <r>
    <n v="36"/>
    <x v="1"/>
    <x v="2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1"/>
    <m/>
    <m/>
    <s v="6-10 Years"/>
    <x v="0"/>
  </r>
  <r>
    <n v="32"/>
    <x v="1"/>
    <x v="0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1"/>
    <m/>
    <m/>
    <s v="11-15 Years"/>
    <x v="1"/>
  </r>
  <r>
    <n v="38"/>
    <x v="1"/>
    <x v="0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1"/>
    <m/>
    <m/>
    <s v="6-10 Years"/>
    <x v="0"/>
  </r>
  <r>
    <n v="58"/>
    <x v="1"/>
    <x v="2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1"/>
    <m/>
    <m/>
    <s v="3-5 Years"/>
    <x v="0"/>
  </r>
  <r>
    <n v="31"/>
    <x v="1"/>
    <x v="0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1"/>
    <m/>
    <m/>
    <s v="3-5 Years"/>
    <x v="0"/>
  </r>
  <r>
    <n v="31"/>
    <x v="1"/>
    <x v="0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1"/>
    <m/>
    <m/>
    <s v="0-2 Years"/>
    <x v="0"/>
  </r>
  <r>
    <n v="45"/>
    <x v="1"/>
    <x v="1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1"/>
    <m/>
    <m/>
    <s v="21+ Years"/>
    <x v="2"/>
  </r>
  <r>
    <n v="31"/>
    <x v="1"/>
    <x v="0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1"/>
    <m/>
    <m/>
    <s v="0-2 Years"/>
    <x v="0"/>
  </r>
  <r>
    <n v="33"/>
    <x v="1"/>
    <x v="1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1"/>
    <m/>
    <m/>
    <s v="6-10 Years"/>
    <x v="2"/>
  </r>
  <r>
    <n v="39"/>
    <x v="1"/>
    <x v="0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1"/>
    <m/>
    <m/>
    <s v="21+ Years"/>
    <x v="3"/>
  </r>
  <r>
    <n v="43"/>
    <x v="1"/>
    <x v="1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1"/>
    <m/>
    <m/>
    <s v="6-10 Years"/>
    <x v="0"/>
  </r>
  <r>
    <n v="49"/>
    <x v="1"/>
    <x v="0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1"/>
    <m/>
    <m/>
    <s v="6-10 Years"/>
    <x v="0"/>
  </r>
  <r>
    <n v="52"/>
    <x v="0"/>
    <x v="0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m/>
    <m/>
    <s v="6-10 Years"/>
    <x v="2"/>
  </r>
  <r>
    <n v="27"/>
    <x v="1"/>
    <x v="0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1"/>
    <m/>
    <m/>
    <s v="3-5 Years"/>
    <x v="0"/>
  </r>
  <r>
    <n v="32"/>
    <x v="1"/>
    <x v="0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1"/>
    <m/>
    <m/>
    <s v="11-15 Years"/>
    <x v="3"/>
  </r>
  <r>
    <n v="27"/>
    <x v="1"/>
    <x v="0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1"/>
    <m/>
    <m/>
    <s v="3-5 Years"/>
    <x v="0"/>
  </r>
  <r>
    <n v="31"/>
    <x v="1"/>
    <x v="0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1"/>
    <m/>
    <m/>
    <s v="6-10 Years"/>
    <x v="0"/>
  </r>
  <r>
    <n v="32"/>
    <x v="1"/>
    <x v="0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1"/>
    <m/>
    <m/>
    <s v="6-10 Years"/>
    <x v="0"/>
  </r>
  <r>
    <n v="28"/>
    <x v="0"/>
    <x v="0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m/>
    <m/>
    <s v="3-5 Years"/>
    <x v="0"/>
  </r>
  <r>
    <n v="30"/>
    <x v="1"/>
    <x v="0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1"/>
    <m/>
    <m/>
    <s v="6-10 Years"/>
    <x v="0"/>
  </r>
  <r>
    <n v="31"/>
    <x v="1"/>
    <x v="1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1"/>
    <m/>
    <m/>
    <s v="6-10 Years"/>
    <x v="2"/>
  </r>
  <r>
    <n v="39"/>
    <x v="1"/>
    <x v="1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1"/>
    <m/>
    <m/>
    <s v="21+ Years"/>
    <x v="3"/>
  </r>
  <r>
    <n v="39"/>
    <x v="0"/>
    <x v="0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m/>
    <m/>
    <s v="0-2 Years"/>
    <x v="0"/>
  </r>
  <r>
    <n v="33"/>
    <x v="1"/>
    <x v="1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1"/>
    <m/>
    <m/>
    <s v="6-10 Years"/>
    <x v="0"/>
  </r>
  <r>
    <n v="47"/>
    <x v="1"/>
    <x v="0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1"/>
    <m/>
    <m/>
    <s v="3-5 Years"/>
    <x v="0"/>
  </r>
  <r>
    <n v="43"/>
    <x v="1"/>
    <x v="1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1"/>
    <m/>
    <m/>
    <s v="6-10 Years"/>
    <x v="0"/>
  </r>
  <r>
    <n v="27"/>
    <x v="1"/>
    <x v="2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1"/>
    <m/>
    <m/>
    <s v="3-5 Years"/>
    <x v="0"/>
  </r>
  <r>
    <n v="54"/>
    <x v="1"/>
    <x v="1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1"/>
    <m/>
    <m/>
    <s v="3-5 Years"/>
    <x v="0"/>
  </r>
  <r>
    <n v="43"/>
    <x v="1"/>
    <x v="0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1"/>
    <m/>
    <m/>
    <s v="0-2 Years"/>
    <x v="0"/>
  </r>
  <r>
    <n v="45"/>
    <x v="1"/>
    <x v="0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1"/>
    <m/>
    <m/>
    <s v="6-10 Years"/>
    <x v="2"/>
  </r>
  <r>
    <n v="40"/>
    <x v="1"/>
    <x v="0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1"/>
    <m/>
    <m/>
    <s v="3-5 Years"/>
    <x v="0"/>
  </r>
  <r>
    <n v="29"/>
    <x v="0"/>
    <x v="0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m/>
    <m/>
    <s v="6-10 Years"/>
    <x v="0"/>
  </r>
  <r>
    <n v="29"/>
    <x v="1"/>
    <x v="0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1"/>
    <m/>
    <m/>
    <s v="3-5 Years"/>
    <x v="0"/>
  </r>
  <r>
    <n v="30"/>
    <x v="1"/>
    <x v="0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1"/>
    <m/>
    <m/>
    <s v="6-10 Years"/>
    <x v="0"/>
  </r>
  <r>
    <n v="27"/>
    <x v="1"/>
    <x v="0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1"/>
    <m/>
    <m/>
    <s v="6-10 Years"/>
    <x v="0"/>
  </r>
  <r>
    <n v="37"/>
    <x v="1"/>
    <x v="0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1"/>
    <m/>
    <m/>
    <s v="6-10 Years"/>
    <x v="0"/>
  </r>
  <r>
    <n v="38"/>
    <x v="1"/>
    <x v="0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1"/>
    <m/>
    <m/>
    <s v="11-15 Years"/>
    <x v="0"/>
  </r>
  <r>
    <n v="31"/>
    <x v="1"/>
    <x v="0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1"/>
    <m/>
    <m/>
    <s v="11-15 Years"/>
    <x v="1"/>
  </r>
  <r>
    <n v="29"/>
    <x v="1"/>
    <x v="0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1"/>
    <m/>
    <m/>
    <s v="6-10 Years"/>
    <x v="0"/>
  </r>
  <r>
    <n v="35"/>
    <x v="1"/>
    <x v="0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1"/>
    <m/>
    <m/>
    <s v="16-20 Years"/>
    <x v="0"/>
  </r>
  <r>
    <n v="23"/>
    <x v="1"/>
    <x v="0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1"/>
    <m/>
    <m/>
    <s v="3-5 Years"/>
    <x v="0"/>
  </r>
  <r>
    <n v="41"/>
    <x v="1"/>
    <x v="0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1"/>
    <m/>
    <m/>
    <s v="3-5 Years"/>
    <x v="0"/>
  </r>
  <r>
    <n v="47"/>
    <x v="1"/>
    <x v="1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1"/>
    <m/>
    <m/>
    <s v="0-2 Years"/>
    <x v="0"/>
  </r>
  <r>
    <n v="42"/>
    <x v="1"/>
    <x v="0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1"/>
    <m/>
    <m/>
    <s v="0-2 Years"/>
    <x v="0"/>
  </r>
  <r>
    <n v="29"/>
    <x v="1"/>
    <x v="2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1"/>
    <m/>
    <m/>
    <s v="3-5 Years"/>
    <x v="0"/>
  </r>
  <r>
    <n v="42"/>
    <x v="1"/>
    <x v="0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1"/>
    <m/>
    <m/>
    <s v="3-5 Years"/>
    <x v="0"/>
  </r>
  <r>
    <n v="32"/>
    <x v="1"/>
    <x v="0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1"/>
    <m/>
    <m/>
    <s v="6-10 Years"/>
    <x v="0"/>
  </r>
  <r>
    <n v="48"/>
    <x v="1"/>
    <x v="0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1"/>
    <m/>
    <m/>
    <s v="0-2 Years"/>
    <x v="0"/>
  </r>
  <r>
    <n v="37"/>
    <x v="1"/>
    <x v="0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1"/>
    <m/>
    <m/>
    <s v="6-10 Years"/>
    <x v="2"/>
  </r>
  <r>
    <n v="30"/>
    <x v="1"/>
    <x v="2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1"/>
    <m/>
    <m/>
    <s v="0-2 Years"/>
    <x v="0"/>
  </r>
  <r>
    <n v="26"/>
    <x v="1"/>
    <x v="0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1"/>
    <m/>
    <m/>
    <s v="6-10 Years"/>
    <x v="2"/>
  </r>
  <r>
    <n v="42"/>
    <x v="1"/>
    <x v="0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1"/>
    <m/>
    <m/>
    <s v="0-2 Years"/>
    <x v="0"/>
  </r>
  <r>
    <n v="21"/>
    <x v="0"/>
    <x v="1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m/>
    <m/>
    <s v="3-5 Years"/>
    <x v="0"/>
  </r>
  <r>
    <n v="36"/>
    <x v="1"/>
    <x v="2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1"/>
    <m/>
    <m/>
    <s v="0-2 Years"/>
    <x v="0"/>
  </r>
  <r>
    <n v="36"/>
    <x v="1"/>
    <x v="1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1"/>
    <m/>
    <m/>
    <s v="11-15 Years"/>
    <x v="0"/>
  </r>
  <r>
    <n v="57"/>
    <x v="1"/>
    <x v="0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1"/>
    <m/>
    <m/>
    <s v="3-5 Years"/>
    <x v="0"/>
  </r>
  <r>
    <n v="40"/>
    <x v="1"/>
    <x v="0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1"/>
    <m/>
    <m/>
    <s v="6-10 Years"/>
    <x v="0"/>
  </r>
  <r>
    <n v="21"/>
    <x v="1"/>
    <x v="2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1"/>
    <m/>
    <m/>
    <s v="3-5 Years"/>
    <x v="0"/>
  </r>
  <r>
    <n v="33"/>
    <x v="0"/>
    <x v="0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m/>
    <m/>
    <s v="0-2 Years"/>
    <x v="0"/>
  </r>
  <r>
    <n v="37"/>
    <x v="1"/>
    <x v="0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1"/>
    <m/>
    <m/>
    <s v="3-5 Years"/>
    <x v="0"/>
  </r>
  <r>
    <n v="46"/>
    <x v="1"/>
    <x v="2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1"/>
    <m/>
    <m/>
    <s v="0-2 Years"/>
    <x v="0"/>
  </r>
  <r>
    <n v="41"/>
    <x v="0"/>
    <x v="1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m/>
    <m/>
    <s v="6-10 Years"/>
    <x v="2"/>
  </r>
  <r>
    <n v="50"/>
    <x v="1"/>
    <x v="0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1"/>
    <m/>
    <m/>
    <s v="3-5 Years"/>
    <x v="0"/>
  </r>
  <r>
    <n v="40"/>
    <x v="0"/>
    <x v="0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m/>
    <m/>
    <s v="6-10 Years"/>
    <x v="0"/>
  </r>
  <r>
    <n v="31"/>
    <x v="1"/>
    <x v="0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1"/>
    <m/>
    <m/>
    <s v="0-2 Years"/>
    <x v="0"/>
  </r>
  <r>
    <n v="21"/>
    <x v="0"/>
    <x v="0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m/>
    <m/>
    <s v="0-2 Years"/>
    <x v="0"/>
  </r>
  <r>
    <n v="29"/>
    <x v="1"/>
    <x v="0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1"/>
    <m/>
    <m/>
    <s v="3-5 Years"/>
    <x v="0"/>
  </r>
  <r>
    <n v="35"/>
    <x v="1"/>
    <x v="0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1"/>
    <m/>
    <m/>
    <s v="0-2 Years"/>
    <x v="0"/>
  </r>
  <r>
    <n v="27"/>
    <x v="1"/>
    <x v="0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1"/>
    <m/>
    <m/>
    <s v="3-5 Years"/>
    <x v="0"/>
  </r>
  <r>
    <n v="28"/>
    <x v="1"/>
    <x v="0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1"/>
    <m/>
    <m/>
    <s v="6-10 Years"/>
    <x v="0"/>
  </r>
  <r>
    <n v="49"/>
    <x v="1"/>
    <x v="0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1"/>
    <m/>
    <m/>
    <s v="3-5 Years"/>
    <x v="0"/>
  </r>
  <r>
    <n v="51"/>
    <x v="1"/>
    <x v="0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1"/>
    <m/>
    <m/>
    <s v="6-10 Years"/>
    <x v="0"/>
  </r>
  <r>
    <n v="36"/>
    <x v="1"/>
    <x v="0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1"/>
    <m/>
    <m/>
    <s v="0-2 Years"/>
    <x v="0"/>
  </r>
  <r>
    <n v="34"/>
    <x v="0"/>
    <x v="2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m/>
    <m/>
    <s v="3-5 Years"/>
    <x v="0"/>
  </r>
  <r>
    <n v="55"/>
    <x v="1"/>
    <x v="0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1"/>
    <m/>
    <m/>
    <s v="3-5 Years"/>
    <x v="0"/>
  </r>
  <r>
    <n v="24"/>
    <x v="1"/>
    <x v="0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1"/>
    <m/>
    <m/>
    <s v="3-5 Years"/>
    <x v="0"/>
  </r>
  <r>
    <n v="30"/>
    <x v="1"/>
    <x v="0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1"/>
    <m/>
    <m/>
    <s v="0-2 Years"/>
    <x v="0"/>
  </r>
  <r>
    <n v="26"/>
    <x v="0"/>
    <x v="1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m/>
    <m/>
    <s v="6-10 Years"/>
    <x v="0"/>
  </r>
  <r>
    <n v="22"/>
    <x v="1"/>
    <x v="0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1"/>
    <m/>
    <m/>
    <s v="0-2 Years"/>
    <x v="0"/>
  </r>
  <r>
    <n v="36"/>
    <x v="1"/>
    <x v="0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1"/>
    <m/>
    <m/>
    <s v="6-10 Years"/>
    <x v="2"/>
  </r>
  <r>
    <n v="30"/>
    <x v="0"/>
    <x v="1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m/>
    <m/>
    <s v="0-2 Years"/>
    <x v="0"/>
  </r>
  <r>
    <n v="37"/>
    <x v="1"/>
    <x v="0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1"/>
    <m/>
    <m/>
    <s v="16-20 Years"/>
    <x v="3"/>
  </r>
  <r>
    <n v="40"/>
    <x v="1"/>
    <x v="0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1"/>
    <m/>
    <m/>
    <s v="3-5 Years"/>
    <x v="0"/>
  </r>
  <r>
    <n v="42"/>
    <x v="1"/>
    <x v="0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1"/>
    <m/>
    <m/>
    <s v="3-5 Years"/>
    <x v="0"/>
  </r>
  <r>
    <n v="37"/>
    <x v="1"/>
    <x v="0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1"/>
    <m/>
    <m/>
    <s v="0-2 Years"/>
    <x v="0"/>
  </r>
  <r>
    <n v="43"/>
    <x v="1"/>
    <x v="0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1"/>
    <m/>
    <m/>
    <s v="21+ Years"/>
    <x v="1"/>
  </r>
  <r>
    <n v="40"/>
    <x v="1"/>
    <x v="0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1"/>
    <m/>
    <m/>
    <s v="0-2 Years"/>
    <x v="0"/>
  </r>
  <r>
    <n v="54"/>
    <x v="1"/>
    <x v="0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1"/>
    <m/>
    <m/>
    <s v="3-5 Years"/>
    <x v="0"/>
  </r>
  <r>
    <n v="34"/>
    <x v="1"/>
    <x v="2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1"/>
    <m/>
    <m/>
    <s v="3-5 Years"/>
    <x v="0"/>
  </r>
  <r>
    <n v="31"/>
    <x v="1"/>
    <x v="0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1"/>
    <m/>
    <m/>
    <s v="11-15 Years"/>
    <x v="1"/>
  </r>
  <r>
    <n v="43"/>
    <x v="1"/>
    <x v="1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1"/>
    <m/>
    <m/>
    <s v="3-5 Years"/>
    <x v="0"/>
  </r>
  <r>
    <n v="43"/>
    <x v="1"/>
    <x v="0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1"/>
    <m/>
    <m/>
    <s v="3-5 Years"/>
    <x v="0"/>
  </r>
  <r>
    <n v="25"/>
    <x v="1"/>
    <x v="0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1"/>
    <m/>
    <m/>
    <s v="3-5 Years"/>
    <x v="0"/>
  </r>
  <r>
    <n v="37"/>
    <x v="1"/>
    <x v="2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1"/>
    <m/>
    <m/>
    <s v="11-15 Years"/>
    <x v="2"/>
  </r>
  <r>
    <n v="31"/>
    <x v="1"/>
    <x v="0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1"/>
    <m/>
    <m/>
    <s v="3-5 Years"/>
    <x v="1"/>
  </r>
  <r>
    <n v="39"/>
    <x v="1"/>
    <x v="1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1"/>
    <m/>
    <m/>
    <s v="21+ Years"/>
    <x v="0"/>
  </r>
  <r>
    <n v="56"/>
    <x v="1"/>
    <x v="1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1"/>
    <m/>
    <m/>
    <s v="6-10 Years"/>
    <x v="2"/>
  </r>
  <r>
    <n v="30"/>
    <x v="1"/>
    <x v="0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1"/>
    <m/>
    <m/>
    <s v="3-5 Years"/>
    <x v="1"/>
  </r>
  <r>
    <n v="41"/>
    <x v="1"/>
    <x v="0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1"/>
    <m/>
    <m/>
    <s v="6-10 Years"/>
    <x v="0"/>
  </r>
  <r>
    <n v="28"/>
    <x v="1"/>
    <x v="0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1"/>
    <m/>
    <m/>
    <s v="6-10 Years"/>
    <x v="0"/>
  </r>
  <r>
    <n v="25"/>
    <x v="0"/>
    <x v="0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m/>
    <m/>
    <s v="0-2 Years"/>
    <x v="0"/>
  </r>
  <r>
    <n v="52"/>
    <x v="1"/>
    <x v="0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1"/>
    <m/>
    <m/>
    <s v="3-5 Years"/>
    <x v="0"/>
  </r>
  <r>
    <n v="45"/>
    <x v="1"/>
    <x v="0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1"/>
    <m/>
    <m/>
    <s v="0-2 Years"/>
    <x v="0"/>
  </r>
  <r>
    <n v="52"/>
    <x v="1"/>
    <x v="0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1"/>
    <m/>
    <m/>
    <s v="3-5 Years"/>
    <x v="0"/>
  </r>
  <r>
    <n v="42"/>
    <x v="1"/>
    <x v="1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1"/>
    <m/>
    <m/>
    <s v="3-5 Years"/>
    <x v="0"/>
  </r>
  <r>
    <n v="30"/>
    <x v="1"/>
    <x v="0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1"/>
    <m/>
    <m/>
    <s v="3-5 Years"/>
    <x v="0"/>
  </r>
  <r>
    <n v="60"/>
    <x v="1"/>
    <x v="0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1"/>
    <m/>
    <m/>
    <s v="21+ Years"/>
    <x v="3"/>
  </r>
  <r>
    <n v="46"/>
    <x v="1"/>
    <x v="0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1"/>
    <m/>
    <m/>
    <s v="6-10 Years"/>
    <x v="0"/>
  </r>
  <r>
    <n v="42"/>
    <x v="1"/>
    <x v="1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1"/>
    <m/>
    <m/>
    <s v="6-10 Years"/>
    <x v="0"/>
  </r>
  <r>
    <n v="24"/>
    <x v="0"/>
    <x v="0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m/>
    <m/>
    <s v="3-5 Years"/>
    <x v="0"/>
  </r>
  <r>
    <n v="34"/>
    <x v="0"/>
    <x v="1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m/>
    <m/>
    <s v="0-2 Years"/>
    <x v="0"/>
  </r>
  <r>
    <n v="38"/>
    <x v="1"/>
    <x v="1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1"/>
    <m/>
    <m/>
    <s v="0-2 Years"/>
    <x v="0"/>
  </r>
  <r>
    <n v="40"/>
    <x v="1"/>
    <x v="0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1"/>
    <m/>
    <m/>
    <s v="16-20 Years"/>
    <x v="0"/>
  </r>
  <r>
    <n v="26"/>
    <x v="1"/>
    <x v="0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1"/>
    <m/>
    <m/>
    <s v="3-5 Years"/>
    <x v="0"/>
  </r>
  <r>
    <n v="30"/>
    <x v="1"/>
    <x v="2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1"/>
    <m/>
    <m/>
    <s v="3-5 Years"/>
    <x v="0"/>
  </r>
  <r>
    <n v="29"/>
    <x v="1"/>
    <x v="0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1"/>
    <m/>
    <m/>
    <s v="6-10 Years"/>
    <x v="0"/>
  </r>
  <r>
    <n v="29"/>
    <x v="0"/>
    <x v="0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m/>
    <m/>
    <s v="0-2 Years"/>
    <x v="0"/>
  </r>
  <r>
    <n v="19"/>
    <x v="0"/>
    <x v="0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m/>
    <m/>
    <s v="0-2 Years"/>
    <x v="0"/>
  </r>
  <r>
    <n v="30"/>
    <x v="1"/>
    <x v="2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1"/>
    <m/>
    <m/>
    <s v="6-10 Years"/>
    <x v="2"/>
  </r>
  <r>
    <n v="57"/>
    <x v="1"/>
    <x v="0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1"/>
    <m/>
    <m/>
    <s v="0-2 Years"/>
    <x v="0"/>
  </r>
  <r>
    <n v="50"/>
    <x v="1"/>
    <x v="0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1"/>
    <m/>
    <m/>
    <s v="21+ Years"/>
    <x v="3"/>
  </r>
  <r>
    <n v="30"/>
    <x v="1"/>
    <x v="2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1"/>
    <m/>
    <m/>
    <s v="11-15 Years"/>
    <x v="2"/>
  </r>
  <r>
    <n v="60"/>
    <x v="1"/>
    <x v="1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1"/>
    <m/>
    <m/>
    <s v="16-20 Years"/>
    <x v="3"/>
  </r>
  <r>
    <n v="47"/>
    <x v="1"/>
    <x v="0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1"/>
    <m/>
    <m/>
    <s v="3-5 Years"/>
    <x v="0"/>
  </r>
  <r>
    <n v="46"/>
    <x v="1"/>
    <x v="0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1"/>
    <m/>
    <m/>
    <s v="3-5 Years"/>
    <x v="0"/>
  </r>
  <r>
    <n v="35"/>
    <x v="1"/>
    <x v="0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1"/>
    <m/>
    <m/>
    <s v="3-5 Years"/>
    <x v="1"/>
  </r>
  <r>
    <n v="54"/>
    <x v="1"/>
    <x v="0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1"/>
    <m/>
    <m/>
    <s v="0-2 Years"/>
    <x v="0"/>
  </r>
  <r>
    <n v="34"/>
    <x v="1"/>
    <x v="0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1"/>
    <m/>
    <m/>
    <s v="6-10 Years"/>
    <x v="1"/>
  </r>
  <r>
    <n v="46"/>
    <x v="1"/>
    <x v="0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1"/>
    <m/>
    <m/>
    <s v="3-5 Years"/>
    <x v="0"/>
  </r>
  <r>
    <n v="31"/>
    <x v="1"/>
    <x v="0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1"/>
    <m/>
    <m/>
    <s v="11-15 Years"/>
    <x v="0"/>
  </r>
  <r>
    <n v="33"/>
    <x v="0"/>
    <x v="0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m/>
    <m/>
    <s v="6-10 Years"/>
    <x v="2"/>
  </r>
  <r>
    <n v="33"/>
    <x v="0"/>
    <x v="0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m/>
    <m/>
    <s v="3-5 Years"/>
    <x v="0"/>
  </r>
  <r>
    <n v="30"/>
    <x v="1"/>
    <x v="0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1"/>
    <m/>
    <m/>
    <s v="3-5 Years"/>
    <x v="0"/>
  </r>
  <r>
    <n v="35"/>
    <x v="1"/>
    <x v="0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1"/>
    <m/>
    <m/>
    <s v="6-10 Years"/>
    <x v="0"/>
  </r>
  <r>
    <n v="31"/>
    <x v="0"/>
    <x v="1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m/>
    <m/>
    <s v="0-2 Years"/>
    <x v="0"/>
  </r>
  <r>
    <n v="34"/>
    <x v="0"/>
    <x v="1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m/>
    <m/>
    <s v="3-5 Years"/>
    <x v="0"/>
  </r>
  <r>
    <n v="42"/>
    <x v="1"/>
    <x v="1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1"/>
    <m/>
    <m/>
    <s v="0-2 Years"/>
    <x v="0"/>
  </r>
  <r>
    <n v="36"/>
    <x v="1"/>
    <x v="2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1"/>
    <m/>
    <m/>
    <s v="6-10 Years"/>
    <x v="2"/>
  </r>
  <r>
    <n v="22"/>
    <x v="0"/>
    <x v="1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m/>
    <m/>
    <s v="0-2 Years"/>
    <x v="0"/>
  </r>
  <r>
    <n v="48"/>
    <x v="1"/>
    <x v="0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1"/>
    <m/>
    <m/>
    <s v="6-10 Years"/>
    <x v="2"/>
  </r>
  <r>
    <n v="55"/>
    <x v="1"/>
    <x v="0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1"/>
    <m/>
    <m/>
    <s v="6-10 Years"/>
    <x v="2"/>
  </r>
  <r>
    <n v="41"/>
    <x v="1"/>
    <x v="2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1"/>
    <m/>
    <m/>
    <s v="11-15 Years"/>
    <x v="0"/>
  </r>
  <r>
    <n v="35"/>
    <x v="1"/>
    <x v="0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1"/>
    <m/>
    <m/>
    <s v="11-15 Years"/>
    <x v="2"/>
  </r>
  <r>
    <n v="40"/>
    <x v="1"/>
    <x v="0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1"/>
    <m/>
    <m/>
    <s v="16-20 Years"/>
    <x v="1"/>
  </r>
  <r>
    <n v="39"/>
    <x v="1"/>
    <x v="1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1"/>
    <m/>
    <m/>
    <s v="6-10 Years"/>
    <x v="0"/>
  </r>
  <r>
    <n v="31"/>
    <x v="1"/>
    <x v="0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1"/>
    <m/>
    <m/>
    <s v="6-10 Years"/>
    <x v="0"/>
  </r>
  <r>
    <n v="42"/>
    <x v="1"/>
    <x v="0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1"/>
    <m/>
    <m/>
    <s v="6-10 Years"/>
    <x v="1"/>
  </r>
  <r>
    <n v="45"/>
    <x v="1"/>
    <x v="0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1"/>
    <m/>
    <m/>
    <s v="6-10 Years"/>
    <x v="1"/>
  </r>
  <r>
    <n v="26"/>
    <x v="0"/>
    <x v="1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m/>
    <m/>
    <s v="6-10 Years"/>
    <x v="0"/>
  </r>
  <r>
    <n v="29"/>
    <x v="1"/>
    <x v="0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1"/>
    <m/>
    <m/>
    <s v="3-5 Years"/>
    <x v="0"/>
  </r>
  <r>
    <n v="33"/>
    <x v="1"/>
    <x v="0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1"/>
    <m/>
    <m/>
    <s v="6-10 Years"/>
    <x v="0"/>
  </r>
  <r>
    <n v="31"/>
    <x v="1"/>
    <x v="0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1"/>
    <m/>
    <m/>
    <s v="3-5 Years"/>
    <x v="0"/>
  </r>
  <r>
    <n v="18"/>
    <x v="0"/>
    <x v="1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m/>
    <m/>
    <s v="0-2 Years"/>
    <x v="0"/>
  </r>
  <r>
    <n v="40"/>
    <x v="1"/>
    <x v="2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1"/>
    <m/>
    <m/>
    <s v="0-2 Years"/>
    <x v="0"/>
  </r>
  <r>
    <n v="41"/>
    <x v="1"/>
    <x v="2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1"/>
    <m/>
    <m/>
    <s v="6-10 Years"/>
    <x v="0"/>
  </r>
  <r>
    <n v="26"/>
    <x v="1"/>
    <x v="0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1"/>
    <m/>
    <m/>
    <s v="0-2 Years"/>
    <x v="0"/>
  </r>
  <r>
    <n v="35"/>
    <x v="1"/>
    <x v="0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1"/>
    <m/>
    <m/>
    <s v="3-5 Years"/>
    <x v="0"/>
  </r>
  <r>
    <n v="34"/>
    <x v="1"/>
    <x v="0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1"/>
    <m/>
    <m/>
    <s v="6-10 Years"/>
    <x v="1"/>
  </r>
  <r>
    <n v="26"/>
    <x v="0"/>
    <x v="0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m/>
    <m/>
    <s v="0-2 Years"/>
    <x v="0"/>
  </r>
  <r>
    <n v="37"/>
    <x v="1"/>
    <x v="0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1"/>
    <m/>
    <m/>
    <s v="6-10 Years"/>
    <x v="0"/>
  </r>
  <r>
    <n v="46"/>
    <x v="1"/>
    <x v="1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1"/>
    <m/>
    <m/>
    <s v="0-2 Years"/>
    <x v="0"/>
  </r>
  <r>
    <n v="41"/>
    <x v="1"/>
    <x v="0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1"/>
    <m/>
    <m/>
    <s v="16-20 Years"/>
    <x v="3"/>
  </r>
  <r>
    <n v="37"/>
    <x v="1"/>
    <x v="2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1"/>
    <m/>
    <m/>
    <s v="6-10 Years"/>
    <x v="2"/>
  </r>
  <r>
    <n v="52"/>
    <x v="1"/>
    <x v="0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1"/>
    <m/>
    <m/>
    <s v="6-10 Years"/>
    <x v="2"/>
  </r>
  <r>
    <n v="32"/>
    <x v="0"/>
    <x v="2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m/>
    <m/>
    <s v="3-5 Years"/>
    <x v="0"/>
  </r>
  <r>
    <n v="24"/>
    <x v="1"/>
    <x v="1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1"/>
    <m/>
    <m/>
    <s v="0-2 Years"/>
    <x v="0"/>
  </r>
  <r>
    <n v="38"/>
    <x v="1"/>
    <x v="0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1"/>
    <m/>
    <m/>
    <s v="0-2 Years"/>
    <x v="0"/>
  </r>
  <r>
    <n v="37"/>
    <x v="1"/>
    <x v="0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1"/>
    <m/>
    <m/>
    <s v="6-10 Years"/>
    <x v="1"/>
  </r>
  <r>
    <n v="49"/>
    <x v="1"/>
    <x v="0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1"/>
    <m/>
    <m/>
    <s v="21+ Years"/>
    <x v="0"/>
  </r>
  <r>
    <n v="24"/>
    <x v="1"/>
    <x v="0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1"/>
    <m/>
    <m/>
    <s v="6-10 Years"/>
    <x v="0"/>
  </r>
  <r>
    <n v="26"/>
    <x v="1"/>
    <x v="0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1"/>
    <m/>
    <m/>
    <s v="3-5 Years"/>
    <x v="0"/>
  </r>
  <r>
    <n v="24"/>
    <x v="1"/>
    <x v="0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1"/>
    <m/>
    <m/>
    <s v="0-2 Years"/>
    <x v="0"/>
  </r>
  <r>
    <n v="50"/>
    <x v="1"/>
    <x v="1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1"/>
    <m/>
    <m/>
    <s v="21+ Years"/>
    <x v="2"/>
  </r>
  <r>
    <n v="25"/>
    <x v="1"/>
    <x v="0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1"/>
    <m/>
    <m/>
    <s v="6-10 Years"/>
    <x v="0"/>
  </r>
  <r>
    <n v="24"/>
    <x v="0"/>
    <x v="1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m/>
    <m/>
    <s v="6-10 Years"/>
    <x v="0"/>
  </r>
  <r>
    <n v="30"/>
    <x v="0"/>
    <x v="1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m/>
    <m/>
    <s v="0-2 Years"/>
    <x v="0"/>
  </r>
  <r>
    <n v="34"/>
    <x v="1"/>
    <x v="0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1"/>
    <m/>
    <m/>
    <s v="6-10 Years"/>
    <x v="0"/>
  </r>
  <r>
    <n v="31"/>
    <x v="0"/>
    <x v="0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m/>
    <m/>
    <s v="3-5 Years"/>
    <x v="0"/>
  </r>
  <r>
    <n v="35"/>
    <x v="1"/>
    <x v="0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1"/>
    <m/>
    <m/>
    <s v="3-5 Years"/>
    <x v="0"/>
  </r>
  <r>
    <n v="31"/>
    <x v="1"/>
    <x v="0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1"/>
    <m/>
    <m/>
    <s v="6-10 Years"/>
    <x v="1"/>
  </r>
  <r>
    <n v="27"/>
    <x v="1"/>
    <x v="0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1"/>
    <m/>
    <m/>
    <s v="3-5 Years"/>
    <x v="0"/>
  </r>
  <r>
    <n v="37"/>
    <x v="1"/>
    <x v="0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1"/>
    <m/>
    <m/>
    <s v="3-5 Years"/>
    <x v="0"/>
  </r>
  <r>
    <n v="20"/>
    <x v="1"/>
    <x v="0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1"/>
    <m/>
    <m/>
    <s v="0-2 Years"/>
    <x v="0"/>
  </r>
  <r>
    <n v="42"/>
    <x v="1"/>
    <x v="0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1"/>
    <m/>
    <m/>
    <s v="6-10 Years"/>
    <x v="0"/>
  </r>
  <r>
    <n v="43"/>
    <x v="1"/>
    <x v="0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1"/>
    <m/>
    <m/>
    <s v="0-2 Years"/>
    <x v="0"/>
  </r>
  <r>
    <n v="38"/>
    <x v="1"/>
    <x v="0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1"/>
    <m/>
    <m/>
    <s v="0-2 Years"/>
    <x v="0"/>
  </r>
  <r>
    <n v="43"/>
    <x v="1"/>
    <x v="1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1"/>
    <m/>
    <m/>
    <s v="6-10 Years"/>
    <x v="1"/>
  </r>
  <r>
    <n v="48"/>
    <x v="1"/>
    <x v="0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1"/>
    <m/>
    <m/>
    <s v="3-5 Years"/>
    <x v="0"/>
  </r>
  <r>
    <n v="44"/>
    <x v="1"/>
    <x v="0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1"/>
    <m/>
    <m/>
    <s v="0-2 Years"/>
    <x v="0"/>
  </r>
  <r>
    <n v="34"/>
    <x v="1"/>
    <x v="0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1"/>
    <m/>
    <m/>
    <s v="6-10 Years"/>
    <x v="0"/>
  </r>
  <r>
    <n v="27"/>
    <x v="0"/>
    <x v="0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m/>
    <m/>
    <s v="3-5 Years"/>
    <x v="0"/>
  </r>
  <r>
    <n v="21"/>
    <x v="1"/>
    <x v="0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1"/>
    <m/>
    <m/>
    <s v="3-5 Years"/>
    <x v="0"/>
  </r>
  <r>
    <n v="44"/>
    <x v="1"/>
    <x v="0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1"/>
    <m/>
    <m/>
    <s v="0-2 Years"/>
    <x v="0"/>
  </r>
  <r>
    <n v="22"/>
    <x v="1"/>
    <x v="0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1"/>
    <m/>
    <m/>
    <s v="0-2 Years"/>
    <x v="0"/>
  </r>
  <r>
    <n v="33"/>
    <x v="1"/>
    <x v="0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1"/>
    <m/>
    <m/>
    <s v="3-5 Years"/>
    <x v="0"/>
  </r>
  <r>
    <n v="32"/>
    <x v="1"/>
    <x v="0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1"/>
    <m/>
    <m/>
    <s v="6-10 Years"/>
    <x v="0"/>
  </r>
  <r>
    <n v="30"/>
    <x v="1"/>
    <x v="1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1"/>
    <m/>
    <m/>
    <s v="0-2 Years"/>
    <x v="0"/>
  </r>
  <r>
    <n v="53"/>
    <x v="1"/>
    <x v="0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1"/>
    <m/>
    <m/>
    <s v="11-15 Years"/>
    <x v="2"/>
  </r>
  <r>
    <n v="34"/>
    <x v="1"/>
    <x v="0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1"/>
    <m/>
    <m/>
    <s v="6-10 Years"/>
    <x v="2"/>
  </r>
  <r>
    <n v="45"/>
    <x v="0"/>
    <x v="1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m/>
    <m/>
    <s v="0-2 Years"/>
    <x v="0"/>
  </r>
  <r>
    <n v="26"/>
    <x v="1"/>
    <x v="0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1"/>
    <m/>
    <m/>
    <s v="3-5 Years"/>
    <x v="0"/>
  </r>
  <r>
    <n v="37"/>
    <x v="1"/>
    <x v="0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1"/>
    <m/>
    <m/>
    <s v="6-10 Years"/>
    <x v="2"/>
  </r>
  <r>
    <n v="29"/>
    <x v="1"/>
    <x v="0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1"/>
    <m/>
    <m/>
    <s v="6-10 Years"/>
    <x v="0"/>
  </r>
  <r>
    <n v="35"/>
    <x v="1"/>
    <x v="0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1"/>
    <m/>
    <m/>
    <s v="16-20 Years"/>
    <x v="3"/>
  </r>
  <r>
    <n v="33"/>
    <x v="1"/>
    <x v="1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1"/>
    <m/>
    <m/>
    <s v="11-15 Years"/>
    <x v="1"/>
  </r>
  <r>
    <n v="54"/>
    <x v="1"/>
    <x v="0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1"/>
    <m/>
    <m/>
    <s v="6-10 Years"/>
    <x v="2"/>
  </r>
  <r>
    <n v="36"/>
    <x v="1"/>
    <x v="0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1"/>
    <m/>
    <m/>
    <s v="3-5 Years"/>
    <x v="0"/>
  </r>
  <r>
    <n v="27"/>
    <x v="1"/>
    <x v="0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1"/>
    <m/>
    <m/>
    <s v="3-5 Years"/>
    <x v="0"/>
  </r>
  <r>
    <n v="20"/>
    <x v="0"/>
    <x v="0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m/>
    <m/>
    <s v="0-2 Years"/>
    <x v="0"/>
  </r>
  <r>
    <n v="33"/>
    <x v="0"/>
    <x v="1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m/>
    <m/>
    <s v="6-10 Years"/>
    <x v="2"/>
  </r>
  <r>
    <n v="35"/>
    <x v="1"/>
    <x v="2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1"/>
    <m/>
    <m/>
    <s v="0-2 Years"/>
    <x v="0"/>
  </r>
  <r>
    <n v="23"/>
    <x v="1"/>
    <x v="0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1"/>
    <m/>
    <m/>
    <s v="3-5 Years"/>
    <x v="0"/>
  </r>
  <r>
    <n v="25"/>
    <x v="1"/>
    <x v="0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1"/>
    <m/>
    <m/>
    <s v="3-5 Years"/>
    <x v="0"/>
  </r>
  <r>
    <n v="38"/>
    <x v="1"/>
    <x v="0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1"/>
    <m/>
    <m/>
    <s v="6-10 Years"/>
    <x v="0"/>
  </r>
  <r>
    <n v="29"/>
    <x v="1"/>
    <x v="1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1"/>
    <m/>
    <m/>
    <s v="6-10 Years"/>
    <x v="0"/>
  </r>
  <r>
    <n v="48"/>
    <x v="1"/>
    <x v="0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1"/>
    <m/>
    <m/>
    <s v="0-2 Years"/>
    <x v="0"/>
  </r>
  <r>
    <n v="27"/>
    <x v="1"/>
    <x v="1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1"/>
    <m/>
    <m/>
    <s v="6-10 Years"/>
    <x v="0"/>
  </r>
  <r>
    <n v="37"/>
    <x v="1"/>
    <x v="0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1"/>
    <m/>
    <m/>
    <s v="0-2 Years"/>
    <x v="0"/>
  </r>
  <r>
    <n v="50"/>
    <x v="1"/>
    <x v="0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1"/>
    <m/>
    <m/>
    <s v="16-20 Years"/>
    <x v="1"/>
  </r>
  <r>
    <n v="34"/>
    <x v="1"/>
    <x v="0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1"/>
    <m/>
    <m/>
    <s v="6-10 Years"/>
    <x v="2"/>
  </r>
  <r>
    <n v="24"/>
    <x v="0"/>
    <x v="0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m/>
    <m/>
    <s v="0-2 Years"/>
    <x v="0"/>
  </r>
  <r>
    <n v="39"/>
    <x v="1"/>
    <x v="0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1"/>
    <m/>
    <m/>
    <s v="16-20 Years"/>
    <x v="3"/>
  </r>
  <r>
    <n v="32"/>
    <x v="1"/>
    <x v="0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1"/>
    <m/>
    <m/>
    <s v="6-10 Years"/>
    <x v="0"/>
  </r>
  <r>
    <n v="50"/>
    <x v="0"/>
    <x v="1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m/>
    <m/>
    <s v="3-5 Years"/>
    <x v="0"/>
  </r>
  <r>
    <n v="38"/>
    <x v="1"/>
    <x v="0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1"/>
    <m/>
    <m/>
    <s v="6-10 Years"/>
    <x v="0"/>
  </r>
  <r>
    <n v="27"/>
    <x v="1"/>
    <x v="0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1"/>
    <m/>
    <m/>
    <s v="6-10 Years"/>
    <x v="0"/>
  </r>
  <r>
    <n v="32"/>
    <x v="1"/>
    <x v="0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1"/>
    <m/>
    <m/>
    <s v="6-10 Years"/>
    <x v="2"/>
  </r>
  <r>
    <n v="47"/>
    <x v="1"/>
    <x v="0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1"/>
    <m/>
    <m/>
    <s v="6-10 Years"/>
    <x v="0"/>
  </r>
  <r>
    <n v="40"/>
    <x v="1"/>
    <x v="1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1"/>
    <m/>
    <m/>
    <s v="16-20 Years"/>
    <x v="0"/>
  </r>
  <r>
    <n v="53"/>
    <x v="1"/>
    <x v="0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1"/>
    <m/>
    <m/>
    <s v="3-5 Years"/>
    <x v="0"/>
  </r>
  <r>
    <n v="41"/>
    <x v="1"/>
    <x v="0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1"/>
    <m/>
    <m/>
    <s v="21+ Years"/>
    <x v="3"/>
  </r>
  <r>
    <n v="60"/>
    <x v="1"/>
    <x v="0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1"/>
    <m/>
    <m/>
    <s v="0-2 Years"/>
    <x v="0"/>
  </r>
  <r>
    <n v="27"/>
    <x v="1"/>
    <x v="1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1"/>
    <m/>
    <m/>
    <s v="6-10 Years"/>
    <x v="0"/>
  </r>
  <r>
    <n v="41"/>
    <x v="1"/>
    <x v="0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1"/>
    <m/>
    <m/>
    <s v="21+ Years"/>
    <x v="0"/>
  </r>
  <r>
    <n v="50"/>
    <x v="1"/>
    <x v="0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1"/>
    <m/>
    <m/>
    <s v="0-2 Years"/>
    <x v="0"/>
  </r>
  <r>
    <n v="28"/>
    <x v="0"/>
    <x v="0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m/>
    <m/>
    <s v="6-10 Years"/>
    <x v="1"/>
  </r>
  <r>
    <n v="36"/>
    <x v="1"/>
    <x v="2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1"/>
    <m/>
    <m/>
    <s v="6-10 Years"/>
    <x v="0"/>
  </r>
  <r>
    <n v="38"/>
    <x v="1"/>
    <x v="0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1"/>
    <m/>
    <m/>
    <s v="0-2 Years"/>
    <x v="0"/>
  </r>
  <r>
    <n v="44"/>
    <x v="1"/>
    <x v="2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1"/>
    <m/>
    <m/>
    <s v="3-5 Years"/>
    <x v="0"/>
  </r>
  <r>
    <n v="47"/>
    <x v="1"/>
    <x v="1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1"/>
    <m/>
    <m/>
    <s v="21+ Years"/>
    <x v="3"/>
  </r>
  <r>
    <n v="30"/>
    <x v="1"/>
    <x v="0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1"/>
    <m/>
    <m/>
    <s v="6-10 Years"/>
    <x v="2"/>
  </r>
  <r>
    <n v="29"/>
    <x v="1"/>
    <x v="0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1"/>
    <m/>
    <m/>
    <s v="0-2 Years"/>
    <x v="0"/>
  </r>
  <r>
    <n v="42"/>
    <x v="0"/>
    <x v="1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m/>
    <m/>
    <s v="0-2 Years"/>
    <x v="0"/>
  </r>
  <r>
    <n v="43"/>
    <x v="1"/>
    <x v="1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1"/>
    <m/>
    <m/>
    <s v="0-2 Years"/>
    <x v="0"/>
  </r>
  <r>
    <n v="34"/>
    <x v="1"/>
    <x v="0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1"/>
    <m/>
    <m/>
    <s v="3-5 Years"/>
    <x v="1"/>
  </r>
  <r>
    <n v="23"/>
    <x v="1"/>
    <x v="0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1"/>
    <m/>
    <m/>
    <s v="3-5 Years"/>
    <x v="0"/>
  </r>
  <r>
    <n v="39"/>
    <x v="1"/>
    <x v="0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1"/>
    <m/>
    <m/>
    <s v="6-10 Years"/>
    <x v="1"/>
  </r>
  <r>
    <n v="56"/>
    <x v="1"/>
    <x v="0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1"/>
    <m/>
    <m/>
    <s v="6-10 Years"/>
    <x v="0"/>
  </r>
  <r>
    <n v="40"/>
    <x v="1"/>
    <x v="0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1"/>
    <m/>
    <m/>
    <s v="3-5 Years"/>
    <x v="0"/>
  </r>
  <r>
    <n v="27"/>
    <x v="1"/>
    <x v="0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1"/>
    <m/>
    <m/>
    <s v="6-10 Years"/>
    <x v="0"/>
  </r>
  <r>
    <n v="29"/>
    <x v="1"/>
    <x v="0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1"/>
    <m/>
    <m/>
    <s v="0-2 Years"/>
    <x v="0"/>
  </r>
  <r>
    <n v="53"/>
    <x v="1"/>
    <x v="0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1"/>
    <m/>
    <m/>
    <s v="0-2 Years"/>
    <x v="0"/>
  </r>
  <r>
    <n v="35"/>
    <x v="1"/>
    <x v="2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1"/>
    <m/>
    <m/>
    <s v="0-2 Years"/>
    <x v="0"/>
  </r>
  <r>
    <n v="32"/>
    <x v="1"/>
    <x v="1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1"/>
    <m/>
    <m/>
    <s v="6-10 Years"/>
    <x v="1"/>
  </r>
  <r>
    <n v="38"/>
    <x v="1"/>
    <x v="0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1"/>
    <m/>
    <m/>
    <s v="0-2 Years"/>
    <x v="0"/>
  </r>
  <r>
    <n v="34"/>
    <x v="1"/>
    <x v="0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1"/>
    <m/>
    <m/>
    <s v="0-2 Years"/>
    <x v="0"/>
  </r>
  <r>
    <n v="52"/>
    <x v="1"/>
    <x v="0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1"/>
    <m/>
    <m/>
    <s v="21+ Years"/>
    <x v="0"/>
  </r>
  <r>
    <n v="33"/>
    <x v="0"/>
    <x v="0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m/>
    <m/>
    <s v="6-10 Years"/>
    <x v="2"/>
  </r>
  <r>
    <n v="25"/>
    <x v="1"/>
    <x v="0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1"/>
    <m/>
    <m/>
    <s v="6-10 Years"/>
    <x v="0"/>
  </r>
  <r>
    <n v="45"/>
    <x v="1"/>
    <x v="0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1"/>
    <m/>
    <m/>
    <s v="6-10 Years"/>
    <x v="1"/>
  </r>
  <r>
    <n v="23"/>
    <x v="1"/>
    <x v="0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1"/>
    <m/>
    <m/>
    <s v="0-2 Years"/>
    <x v="0"/>
  </r>
  <r>
    <n v="47"/>
    <x v="0"/>
    <x v="1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m/>
    <m/>
    <s v="3-5 Years"/>
    <x v="0"/>
  </r>
  <r>
    <n v="34"/>
    <x v="1"/>
    <x v="0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1"/>
    <m/>
    <m/>
    <s v="6-10 Years"/>
    <x v="0"/>
  </r>
  <r>
    <n v="55"/>
    <x v="0"/>
    <x v="0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m/>
    <m/>
    <s v="3-5 Years"/>
    <x v="0"/>
  </r>
  <r>
    <n v="36"/>
    <x v="1"/>
    <x v="2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1"/>
    <m/>
    <m/>
    <s v="6-10 Years"/>
    <x v="0"/>
  </r>
  <r>
    <n v="52"/>
    <x v="1"/>
    <x v="2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1"/>
    <m/>
    <m/>
    <s v="3-5 Years"/>
    <x v="0"/>
  </r>
  <r>
    <n v="26"/>
    <x v="1"/>
    <x v="1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1"/>
    <m/>
    <m/>
    <s v="0-2 Years"/>
    <x v="0"/>
  </r>
  <r>
    <n v="29"/>
    <x v="1"/>
    <x v="0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1"/>
    <m/>
    <m/>
    <s v="6-10 Years"/>
    <x v="0"/>
  </r>
  <r>
    <n v="26"/>
    <x v="0"/>
    <x v="0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m/>
    <m/>
    <s v="3-5 Years"/>
    <x v="0"/>
  </r>
  <r>
    <n v="34"/>
    <x v="1"/>
    <x v="0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1"/>
    <m/>
    <m/>
    <s v="3-5 Years"/>
    <x v="0"/>
  </r>
  <r>
    <n v="54"/>
    <x v="1"/>
    <x v="0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1"/>
    <m/>
    <m/>
    <s v="3-5 Years"/>
    <x v="0"/>
  </r>
  <r>
    <n v="27"/>
    <x v="1"/>
    <x v="1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1"/>
    <m/>
    <m/>
    <s v="3-5 Years"/>
    <x v="0"/>
  </r>
  <r>
    <n v="37"/>
    <x v="1"/>
    <x v="0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1"/>
    <m/>
    <m/>
    <s v="3-5 Years"/>
    <x v="1"/>
  </r>
  <r>
    <n v="38"/>
    <x v="1"/>
    <x v="1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1"/>
    <m/>
    <m/>
    <s v="11-15 Years"/>
    <x v="1"/>
  </r>
  <r>
    <n v="34"/>
    <x v="1"/>
    <x v="0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1"/>
    <m/>
    <m/>
    <s v="6-10 Years"/>
    <x v="0"/>
  </r>
  <r>
    <n v="35"/>
    <x v="1"/>
    <x v="0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1"/>
    <m/>
    <m/>
    <s v="3-5 Years"/>
    <x v="0"/>
  </r>
  <r>
    <n v="30"/>
    <x v="1"/>
    <x v="0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1"/>
    <m/>
    <m/>
    <s v="0-2 Years"/>
    <x v="0"/>
  </r>
  <r>
    <n v="40"/>
    <x v="1"/>
    <x v="1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1"/>
    <m/>
    <m/>
    <s v="6-10 Years"/>
    <x v="1"/>
  </r>
  <r>
    <n v="34"/>
    <x v="1"/>
    <x v="0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1"/>
    <m/>
    <m/>
    <s v="3-5 Years"/>
    <x v="0"/>
  </r>
  <r>
    <n v="42"/>
    <x v="1"/>
    <x v="1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1"/>
    <m/>
    <m/>
    <s v="21+ Years"/>
    <x v="3"/>
  </r>
  <r>
    <n v="23"/>
    <x v="0"/>
    <x v="0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m/>
    <m/>
    <s v="0-2 Years"/>
    <x v="0"/>
  </r>
  <r>
    <n v="24"/>
    <x v="1"/>
    <x v="2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1"/>
    <m/>
    <m/>
    <s v="0-2 Years"/>
    <x v="0"/>
  </r>
  <r>
    <n v="52"/>
    <x v="1"/>
    <x v="0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1"/>
    <m/>
    <m/>
    <s v="3-5 Years"/>
    <x v="0"/>
  </r>
  <r>
    <n v="50"/>
    <x v="1"/>
    <x v="0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1"/>
    <m/>
    <m/>
    <s v="3-5 Years"/>
    <x v="0"/>
  </r>
  <r>
    <n v="29"/>
    <x v="0"/>
    <x v="0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m/>
    <m/>
    <s v="0-2 Years"/>
    <x v="0"/>
  </r>
  <r>
    <n v="33"/>
    <x v="1"/>
    <x v="0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1"/>
    <m/>
    <m/>
    <s v="11-15 Years"/>
    <x v="1"/>
  </r>
  <r>
    <n v="33"/>
    <x v="0"/>
    <x v="0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m/>
    <m/>
    <s v="3-5 Years"/>
    <x v="0"/>
  </r>
  <r>
    <n v="47"/>
    <x v="1"/>
    <x v="0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1"/>
    <m/>
    <m/>
    <s v="21+ Years"/>
    <x v="1"/>
  </r>
  <r>
    <n v="36"/>
    <x v="1"/>
    <x v="0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1"/>
    <m/>
    <m/>
    <s v="6-10 Years"/>
    <x v="0"/>
  </r>
  <r>
    <n v="29"/>
    <x v="1"/>
    <x v="0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1"/>
    <m/>
    <m/>
    <s v="6-10 Years"/>
    <x v="0"/>
  </r>
  <r>
    <n v="58"/>
    <x v="0"/>
    <x v="0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m/>
    <m/>
    <s v="21+ Years"/>
    <x v="3"/>
  </r>
  <r>
    <n v="35"/>
    <x v="1"/>
    <x v="0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1"/>
    <m/>
    <m/>
    <s v="0-2 Years"/>
    <x v="0"/>
  </r>
  <r>
    <n v="42"/>
    <x v="1"/>
    <x v="0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1"/>
    <m/>
    <m/>
    <s v="3-5 Years"/>
    <x v="0"/>
  </r>
  <r>
    <n v="28"/>
    <x v="0"/>
    <x v="0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m/>
    <m/>
    <s v="0-2 Years"/>
    <x v="0"/>
  </r>
  <r>
    <n v="36"/>
    <x v="1"/>
    <x v="0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1"/>
    <m/>
    <m/>
    <s v="3-5 Years"/>
    <x v="0"/>
  </r>
  <r>
    <n v="32"/>
    <x v="1"/>
    <x v="0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1"/>
    <m/>
    <m/>
    <s v="11-15 Years"/>
    <x v="2"/>
  </r>
  <r>
    <n v="40"/>
    <x v="1"/>
    <x v="1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1"/>
    <m/>
    <m/>
    <s v="0-2 Years"/>
    <x v="0"/>
  </r>
  <r>
    <n v="30"/>
    <x v="1"/>
    <x v="0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1"/>
    <m/>
    <m/>
    <s v="0-2 Years"/>
    <x v="0"/>
  </r>
  <r>
    <n v="45"/>
    <x v="1"/>
    <x v="0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1"/>
    <m/>
    <m/>
    <s v="0-2 Years"/>
    <x v="0"/>
  </r>
  <r>
    <n v="42"/>
    <x v="1"/>
    <x v="0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1"/>
    <m/>
    <m/>
    <s v="6-10 Years"/>
    <x v="2"/>
  </r>
  <r>
    <n v="38"/>
    <x v="1"/>
    <x v="1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1"/>
    <m/>
    <m/>
    <s v="3-5 Years"/>
    <x v="0"/>
  </r>
  <r>
    <n v="34"/>
    <x v="1"/>
    <x v="1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1"/>
    <m/>
    <m/>
    <s v="3-5 Years"/>
    <x v="0"/>
  </r>
  <r>
    <n v="49"/>
    <x v="0"/>
    <x v="0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m/>
    <m/>
    <s v="6-10 Years"/>
    <x v="2"/>
  </r>
  <r>
    <n v="55"/>
    <x v="0"/>
    <x v="0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m/>
    <m/>
    <s v="6-10 Years"/>
    <x v="2"/>
  </r>
  <r>
    <n v="43"/>
    <x v="1"/>
    <x v="0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1"/>
    <m/>
    <m/>
    <s v="3-5 Years"/>
    <x v="0"/>
  </r>
  <r>
    <n v="27"/>
    <x v="1"/>
    <x v="0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1"/>
    <m/>
    <m/>
    <s v="6-10 Years"/>
    <x v="0"/>
  </r>
  <r>
    <n v="35"/>
    <x v="1"/>
    <x v="0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1"/>
    <m/>
    <m/>
    <s v="6-10 Years"/>
    <x v="0"/>
  </r>
  <r>
    <n v="28"/>
    <x v="1"/>
    <x v="0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1"/>
    <m/>
    <m/>
    <s v="6-10 Years"/>
    <x v="2"/>
  </r>
  <r>
    <n v="34"/>
    <x v="1"/>
    <x v="0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1"/>
    <m/>
    <m/>
    <s v="3-5 Years"/>
    <x v="0"/>
  </r>
  <r>
    <n v="26"/>
    <x v="0"/>
    <x v="1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m/>
    <m/>
    <s v="6-10 Years"/>
    <x v="0"/>
  </r>
  <r>
    <n v="27"/>
    <x v="1"/>
    <x v="2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1"/>
    <m/>
    <m/>
    <s v="0-2 Years"/>
    <x v="0"/>
  </r>
  <r>
    <n v="51"/>
    <x v="1"/>
    <x v="0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1"/>
    <m/>
    <m/>
    <s v="16-20 Years"/>
    <x v="1"/>
  </r>
  <r>
    <n v="44"/>
    <x v="1"/>
    <x v="0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1"/>
    <m/>
    <m/>
    <s v="3-5 Years"/>
    <x v="0"/>
  </r>
  <r>
    <n v="25"/>
    <x v="1"/>
    <x v="0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1"/>
    <m/>
    <m/>
    <s v="3-5 Years"/>
    <x v="0"/>
  </r>
  <r>
    <n v="33"/>
    <x v="1"/>
    <x v="0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1"/>
    <m/>
    <m/>
    <s v="6-10 Years"/>
    <x v="0"/>
  </r>
  <r>
    <n v="35"/>
    <x v="1"/>
    <x v="0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1"/>
    <m/>
    <m/>
    <s v="6-10 Years"/>
    <x v="0"/>
  </r>
  <r>
    <n v="36"/>
    <x v="1"/>
    <x v="0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1"/>
    <m/>
    <m/>
    <s v="16-20 Years"/>
    <x v="1"/>
  </r>
  <r>
    <n v="32"/>
    <x v="1"/>
    <x v="0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1"/>
    <m/>
    <m/>
    <s v="3-5 Years"/>
    <x v="0"/>
  </r>
  <r>
    <n v="30"/>
    <x v="1"/>
    <x v="1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1"/>
    <m/>
    <m/>
    <s v="3-5 Years"/>
    <x v="0"/>
  </r>
  <r>
    <n v="53"/>
    <x v="1"/>
    <x v="0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1"/>
    <m/>
    <m/>
    <s v="3-5 Years"/>
    <x v="0"/>
  </r>
  <r>
    <n v="45"/>
    <x v="1"/>
    <x v="0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1"/>
    <m/>
    <m/>
    <s v="3-5 Years"/>
    <x v="0"/>
  </r>
  <r>
    <n v="32"/>
    <x v="1"/>
    <x v="0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1"/>
    <m/>
    <m/>
    <s v="3-5 Years"/>
    <x v="0"/>
  </r>
  <r>
    <n v="52"/>
    <x v="1"/>
    <x v="1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1"/>
    <m/>
    <m/>
    <s v="6-10 Years"/>
    <x v="0"/>
  </r>
  <r>
    <n v="37"/>
    <x v="1"/>
    <x v="0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1"/>
    <m/>
    <m/>
    <s v="0-2 Years"/>
    <x v="0"/>
  </r>
  <r>
    <n v="28"/>
    <x v="1"/>
    <x v="0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1"/>
    <m/>
    <m/>
    <s v="3-5 Years"/>
    <x v="0"/>
  </r>
  <r>
    <n v="22"/>
    <x v="1"/>
    <x v="0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1"/>
    <m/>
    <m/>
    <s v="0-2 Years"/>
    <x v="0"/>
  </r>
  <r>
    <n v="44"/>
    <x v="1"/>
    <x v="0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1"/>
    <m/>
    <m/>
    <s v="3-5 Years"/>
    <x v="0"/>
  </r>
  <r>
    <n v="42"/>
    <x v="1"/>
    <x v="1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1"/>
    <m/>
    <m/>
    <s v="0-2 Years"/>
    <x v="0"/>
  </r>
  <r>
    <n v="36"/>
    <x v="1"/>
    <x v="0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1"/>
    <m/>
    <m/>
    <s v="3-5 Years"/>
    <x v="0"/>
  </r>
  <r>
    <n v="25"/>
    <x v="1"/>
    <x v="0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1"/>
    <m/>
    <m/>
    <s v="3-5 Years"/>
    <x v="0"/>
  </r>
  <r>
    <n v="35"/>
    <x v="1"/>
    <x v="0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1"/>
    <m/>
    <m/>
    <s v="16-20 Years"/>
    <x v="1"/>
  </r>
  <r>
    <n v="35"/>
    <x v="0"/>
    <x v="1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m/>
    <m/>
    <s v="6-10 Years"/>
    <x v="2"/>
  </r>
  <r>
    <n v="32"/>
    <x v="1"/>
    <x v="2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1"/>
    <m/>
    <m/>
    <s v="3-5 Years"/>
    <x v="0"/>
  </r>
  <r>
    <n v="25"/>
    <x v="1"/>
    <x v="0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1"/>
    <m/>
    <m/>
    <s v="3-5 Years"/>
    <x v="0"/>
  </r>
  <r>
    <n v="49"/>
    <x v="1"/>
    <x v="0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1"/>
    <m/>
    <m/>
    <s v="3-5 Years"/>
    <x v="0"/>
  </r>
  <r>
    <n v="24"/>
    <x v="1"/>
    <x v="2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1"/>
    <m/>
    <m/>
    <s v="3-5 Years"/>
    <x v="1"/>
  </r>
  <r>
    <n v="32"/>
    <x v="1"/>
    <x v="1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1"/>
    <m/>
    <m/>
    <s v="6-10 Years"/>
    <x v="1"/>
  </r>
  <r>
    <n v="38"/>
    <x v="1"/>
    <x v="0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1"/>
    <m/>
    <m/>
    <s v="0-2 Years"/>
    <x v="0"/>
  </r>
  <r>
    <n v="42"/>
    <x v="1"/>
    <x v="0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1"/>
    <m/>
    <m/>
    <s v="3-5 Years"/>
    <x v="0"/>
  </r>
  <r>
    <n v="31"/>
    <x v="1"/>
    <x v="0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1"/>
    <m/>
    <m/>
    <s v="6-10 Years"/>
    <x v="0"/>
  </r>
  <r>
    <n v="29"/>
    <x v="0"/>
    <x v="0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m/>
    <m/>
    <s v="3-5 Years"/>
    <x v="0"/>
  </r>
  <r>
    <n v="53"/>
    <x v="1"/>
    <x v="0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1"/>
    <m/>
    <m/>
    <s v="0-2 Years"/>
    <x v="0"/>
  </r>
  <r>
    <n v="35"/>
    <x v="1"/>
    <x v="0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1"/>
    <m/>
    <m/>
    <s v="11-15 Years"/>
    <x v="1"/>
  </r>
  <r>
    <n v="37"/>
    <x v="1"/>
    <x v="1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1"/>
    <m/>
    <m/>
    <s v="3-5 Years"/>
    <x v="0"/>
  </r>
  <r>
    <n v="53"/>
    <x v="1"/>
    <x v="0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1"/>
    <m/>
    <m/>
    <s v="11-15 Years"/>
    <x v="1"/>
  </r>
  <r>
    <n v="43"/>
    <x v="1"/>
    <x v="1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1"/>
    <m/>
    <m/>
    <s v="3-5 Years"/>
    <x v="0"/>
  </r>
  <r>
    <n v="47"/>
    <x v="1"/>
    <x v="0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1"/>
    <m/>
    <m/>
    <s v="6-10 Years"/>
    <x v="2"/>
  </r>
  <r>
    <n v="37"/>
    <x v="1"/>
    <x v="2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1"/>
    <m/>
    <m/>
    <s v="6-10 Years"/>
    <x v="0"/>
  </r>
  <r>
    <n v="50"/>
    <x v="1"/>
    <x v="2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1"/>
    <m/>
    <m/>
    <s v="21+ Years"/>
    <x v="3"/>
  </r>
  <r>
    <n v="39"/>
    <x v="1"/>
    <x v="0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1"/>
    <m/>
    <m/>
    <s v="3-5 Years"/>
    <x v="0"/>
  </r>
  <r>
    <n v="33"/>
    <x v="1"/>
    <x v="0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1"/>
    <m/>
    <m/>
    <s v="3-5 Years"/>
    <x v="0"/>
  </r>
  <r>
    <n v="32"/>
    <x v="0"/>
    <x v="0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m/>
    <m/>
    <s v="0-2 Years"/>
    <x v="0"/>
  </r>
  <r>
    <n v="29"/>
    <x v="1"/>
    <x v="0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1"/>
    <m/>
    <m/>
    <s v="3-5 Years"/>
    <x v="0"/>
  </r>
  <r>
    <n v="44"/>
    <x v="1"/>
    <x v="0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1"/>
    <m/>
    <m/>
    <s v="6-10 Years"/>
    <x v="2"/>
  </r>
  <r>
    <n v="28"/>
    <x v="1"/>
    <x v="0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1"/>
    <m/>
    <m/>
    <s v="3-5 Years"/>
    <x v="0"/>
  </r>
  <r>
    <n v="58"/>
    <x v="0"/>
    <x v="1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m/>
    <m/>
    <s v="0-2 Years"/>
    <x v="0"/>
  </r>
  <r>
    <n v="43"/>
    <x v="1"/>
    <x v="0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1"/>
    <m/>
    <m/>
    <s v="0-2 Years"/>
    <x v="0"/>
  </r>
  <r>
    <n v="20"/>
    <x v="0"/>
    <x v="0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m/>
    <m/>
    <s v="0-2 Years"/>
    <x v="0"/>
  </r>
  <r>
    <n v="21"/>
    <x v="0"/>
    <x v="0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m/>
    <m/>
    <s v="0-2 Years"/>
    <x v="0"/>
  </r>
  <r>
    <n v="36"/>
    <x v="1"/>
    <x v="0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1"/>
    <m/>
    <m/>
    <s v="16-20 Years"/>
    <x v="1"/>
  </r>
  <r>
    <n v="47"/>
    <x v="1"/>
    <x v="0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1"/>
    <m/>
    <m/>
    <s v="3-5 Years"/>
    <x v="0"/>
  </r>
  <r>
    <n v="22"/>
    <x v="0"/>
    <x v="0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m/>
    <m/>
    <s v="3-5 Years"/>
    <x v="0"/>
  </r>
  <r>
    <n v="41"/>
    <x v="0"/>
    <x v="0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m/>
    <m/>
    <s v="6-10 Years"/>
    <x v="0"/>
  </r>
  <r>
    <n v="28"/>
    <x v="1"/>
    <x v="0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1"/>
    <m/>
    <m/>
    <s v="0-2 Years"/>
    <x v="0"/>
  </r>
  <r>
    <n v="39"/>
    <x v="0"/>
    <x v="0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m/>
    <m/>
    <s v="0-2 Years"/>
    <x v="0"/>
  </r>
  <r>
    <n v="27"/>
    <x v="1"/>
    <x v="0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1"/>
    <m/>
    <m/>
    <s v="0-2 Years"/>
    <x v="0"/>
  </r>
  <r>
    <n v="34"/>
    <x v="1"/>
    <x v="0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1"/>
    <m/>
    <m/>
    <s v="0-2 Years"/>
    <x v="0"/>
  </r>
  <r>
    <n v="42"/>
    <x v="1"/>
    <x v="0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1"/>
    <m/>
    <m/>
    <s v="3-5 Years"/>
    <x v="0"/>
  </r>
  <r>
    <n v="33"/>
    <x v="1"/>
    <x v="0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1"/>
    <m/>
    <m/>
    <s v="3-5 Years"/>
    <x v="0"/>
  </r>
  <r>
    <n v="58"/>
    <x v="1"/>
    <x v="0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1"/>
    <m/>
    <m/>
    <s v="6-10 Years"/>
    <x v="0"/>
  </r>
  <r>
    <n v="31"/>
    <x v="1"/>
    <x v="0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1"/>
    <m/>
    <m/>
    <s v="6-10 Years"/>
    <x v="1"/>
  </r>
  <r>
    <n v="35"/>
    <x v="1"/>
    <x v="0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1"/>
    <m/>
    <m/>
    <s v="6-10 Years"/>
    <x v="0"/>
  </r>
  <r>
    <n v="49"/>
    <x v="1"/>
    <x v="0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1"/>
    <m/>
    <m/>
    <s v="21+ Years"/>
    <x v="0"/>
  </r>
  <r>
    <n v="48"/>
    <x v="1"/>
    <x v="0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1"/>
    <m/>
    <m/>
    <s v="0-2 Years"/>
    <x v="0"/>
  </r>
  <r>
    <n v="31"/>
    <x v="1"/>
    <x v="2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1"/>
    <m/>
    <m/>
    <s v="6-10 Years"/>
    <x v="0"/>
  </r>
  <r>
    <n v="36"/>
    <x v="1"/>
    <x v="0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1"/>
    <m/>
    <m/>
    <s v="6-10 Years"/>
    <x v="0"/>
  </r>
  <r>
    <n v="38"/>
    <x v="1"/>
    <x v="0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1"/>
    <m/>
    <m/>
    <s v="11-15 Years"/>
    <x v="1"/>
  </r>
  <r>
    <n v="32"/>
    <x v="1"/>
    <x v="2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1"/>
    <m/>
    <m/>
    <s v="3-5 Years"/>
    <x v="0"/>
  </r>
  <r>
    <n v="25"/>
    <x v="0"/>
    <x v="0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m/>
    <m/>
    <s v="0-2 Years"/>
    <x v="0"/>
  </r>
  <r>
    <n v="40"/>
    <x v="1"/>
    <x v="0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1"/>
    <m/>
    <m/>
    <s v="0-2 Years"/>
    <x v="0"/>
  </r>
  <r>
    <n v="26"/>
    <x v="1"/>
    <x v="1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1"/>
    <m/>
    <m/>
    <s v="6-10 Years"/>
    <x v="0"/>
  </r>
  <r>
    <n v="41"/>
    <x v="1"/>
    <x v="0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1"/>
    <m/>
    <m/>
    <s v="16-20 Years"/>
    <x v="0"/>
  </r>
  <r>
    <n v="36"/>
    <x v="1"/>
    <x v="0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1"/>
    <m/>
    <m/>
    <s v="11-15 Years"/>
    <x v="1"/>
  </r>
  <r>
    <n v="19"/>
    <x v="0"/>
    <x v="0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m/>
    <m/>
    <s v="0-2 Years"/>
    <x v="0"/>
  </r>
  <r>
    <n v="20"/>
    <x v="0"/>
    <x v="0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m/>
    <m/>
    <s v="0-2 Years"/>
    <x v="0"/>
  </r>
  <r>
    <n v="31"/>
    <x v="1"/>
    <x v="0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1"/>
    <m/>
    <m/>
    <s v="6-10 Years"/>
    <x v="2"/>
  </r>
  <r>
    <n v="40"/>
    <x v="1"/>
    <x v="1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1"/>
    <m/>
    <m/>
    <s v="0-2 Years"/>
    <x v="0"/>
  </r>
  <r>
    <n v="32"/>
    <x v="1"/>
    <x v="0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1"/>
    <m/>
    <m/>
    <s v="6-10 Years"/>
    <x v="2"/>
  </r>
  <r>
    <n v="36"/>
    <x v="0"/>
    <x v="0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m/>
    <m/>
    <s v="16-20 Years"/>
    <x v="1"/>
  </r>
  <r>
    <n v="33"/>
    <x v="1"/>
    <x v="0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1"/>
    <m/>
    <m/>
    <s v="3-5 Years"/>
    <x v="0"/>
  </r>
  <r>
    <n v="37"/>
    <x v="0"/>
    <x v="0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m/>
    <m/>
    <s v="11-15 Years"/>
    <x v="3"/>
  </r>
  <r>
    <n v="45"/>
    <x v="1"/>
    <x v="2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1"/>
    <m/>
    <m/>
    <s v="6-10 Years"/>
    <x v="0"/>
  </r>
  <r>
    <n v="29"/>
    <x v="1"/>
    <x v="1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1"/>
    <m/>
    <m/>
    <s v="3-5 Years"/>
    <x v="0"/>
  </r>
  <r>
    <n v="35"/>
    <x v="1"/>
    <x v="0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1"/>
    <m/>
    <m/>
    <s v="3-5 Years"/>
    <x v="0"/>
  </r>
  <r>
    <n v="52"/>
    <x v="1"/>
    <x v="0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1"/>
    <m/>
    <m/>
    <s v="6-10 Years"/>
    <x v="2"/>
  </r>
  <r>
    <n v="58"/>
    <x v="0"/>
    <x v="0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m/>
    <m/>
    <s v="0-2 Years"/>
    <x v="0"/>
  </r>
  <r>
    <n v="53"/>
    <x v="1"/>
    <x v="0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1"/>
    <m/>
    <m/>
    <s v="16-20 Years"/>
    <x v="3"/>
  </r>
  <r>
    <n v="30"/>
    <x v="1"/>
    <x v="0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1"/>
    <m/>
    <m/>
    <s v="6-10 Years"/>
    <x v="2"/>
  </r>
  <r>
    <n v="38"/>
    <x v="1"/>
    <x v="2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1"/>
    <m/>
    <m/>
    <s v="3-5 Years"/>
    <x v="0"/>
  </r>
  <r>
    <n v="35"/>
    <x v="1"/>
    <x v="0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1"/>
    <m/>
    <m/>
    <s v="6-10 Years"/>
    <x v="0"/>
  </r>
  <r>
    <n v="39"/>
    <x v="1"/>
    <x v="0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1"/>
    <m/>
    <m/>
    <s v="6-10 Years"/>
    <x v="0"/>
  </r>
  <r>
    <n v="40"/>
    <x v="0"/>
    <x v="2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m/>
    <m/>
    <s v="0-2 Years"/>
    <x v="0"/>
  </r>
  <r>
    <n v="47"/>
    <x v="1"/>
    <x v="1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1"/>
    <m/>
    <m/>
    <s v="16-20 Years"/>
    <x v="0"/>
  </r>
  <r>
    <n v="36"/>
    <x v="1"/>
    <x v="2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1"/>
    <m/>
    <m/>
    <s v="6-10 Years"/>
    <x v="0"/>
  </r>
  <r>
    <n v="31"/>
    <x v="0"/>
    <x v="2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m/>
    <m/>
    <s v="3-5 Years"/>
    <x v="0"/>
  </r>
  <r>
    <n v="33"/>
    <x v="1"/>
    <x v="2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1"/>
    <m/>
    <m/>
    <s v="6-10 Years"/>
    <x v="2"/>
  </r>
  <r>
    <n v="29"/>
    <x v="0"/>
    <x v="0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m/>
    <m/>
    <s v="0-2 Years"/>
    <x v="0"/>
  </r>
  <r>
    <n v="33"/>
    <x v="1"/>
    <x v="0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1"/>
    <m/>
    <m/>
    <s v="3-5 Years"/>
    <x v="0"/>
  </r>
  <r>
    <n v="45"/>
    <x v="1"/>
    <x v="0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1"/>
    <m/>
    <m/>
    <s v="3-5 Years"/>
    <x v="0"/>
  </r>
  <r>
    <n v="50"/>
    <x v="1"/>
    <x v="0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1"/>
    <m/>
    <m/>
    <s v="3-5 Years"/>
    <x v="0"/>
  </r>
  <r>
    <n v="33"/>
    <x v="1"/>
    <x v="1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1"/>
    <m/>
    <m/>
    <s v="6-10 Years"/>
    <x v="0"/>
  </r>
  <r>
    <n v="41"/>
    <x v="1"/>
    <x v="1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1"/>
    <m/>
    <m/>
    <s v="16-20 Years"/>
    <x v="0"/>
  </r>
  <r>
    <n v="27"/>
    <x v="1"/>
    <x v="0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1"/>
    <m/>
    <m/>
    <s v="0-2 Years"/>
    <x v="0"/>
  </r>
  <r>
    <n v="45"/>
    <x v="1"/>
    <x v="2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1"/>
    <m/>
    <m/>
    <s v="6-10 Years"/>
    <x v="0"/>
  </r>
  <r>
    <n v="47"/>
    <x v="1"/>
    <x v="0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1"/>
    <m/>
    <m/>
    <s v="6-10 Years"/>
    <x v="0"/>
  </r>
  <r>
    <n v="30"/>
    <x v="0"/>
    <x v="0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m/>
    <m/>
    <s v="3-5 Years"/>
    <x v="0"/>
  </r>
  <r>
    <n v="50"/>
    <x v="1"/>
    <x v="0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1"/>
    <m/>
    <m/>
    <s v="11-15 Years"/>
    <x v="0"/>
  </r>
  <r>
    <n v="38"/>
    <x v="1"/>
    <x v="1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1"/>
    <m/>
    <m/>
    <s v="0-2 Years"/>
    <x v="0"/>
  </r>
  <r>
    <n v="46"/>
    <x v="1"/>
    <x v="0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1"/>
    <m/>
    <m/>
    <s v="6-10 Years"/>
    <x v="0"/>
  </r>
  <r>
    <n v="24"/>
    <x v="1"/>
    <x v="0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1"/>
    <m/>
    <m/>
    <s v="3-5 Years"/>
    <x v="1"/>
  </r>
  <r>
    <n v="35"/>
    <x v="0"/>
    <x v="0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m/>
    <m/>
    <s v="3-5 Years"/>
    <x v="0"/>
  </r>
  <r>
    <n v="31"/>
    <x v="1"/>
    <x v="1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1"/>
    <m/>
    <m/>
    <s v="3-5 Years"/>
    <x v="0"/>
  </r>
  <r>
    <n v="18"/>
    <x v="1"/>
    <x v="2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1"/>
    <m/>
    <m/>
    <s v="0-2 Years"/>
    <x v="0"/>
  </r>
  <r>
    <n v="54"/>
    <x v="1"/>
    <x v="0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1"/>
    <m/>
    <m/>
    <s v="6-10 Years"/>
    <x v="0"/>
  </r>
  <r>
    <n v="35"/>
    <x v="1"/>
    <x v="0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1"/>
    <m/>
    <m/>
    <s v="16-20 Years"/>
    <x v="2"/>
  </r>
  <r>
    <n v="30"/>
    <x v="1"/>
    <x v="0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1"/>
    <m/>
    <m/>
    <s v="6-10 Years"/>
    <x v="0"/>
  </r>
  <r>
    <n v="20"/>
    <x v="0"/>
    <x v="0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m/>
    <m/>
    <s v="0-2 Years"/>
    <x v="0"/>
  </r>
  <r>
    <n v="30"/>
    <x v="0"/>
    <x v="1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m/>
    <m/>
    <s v="3-5 Years"/>
    <x v="0"/>
  </r>
  <r>
    <n v="26"/>
    <x v="1"/>
    <x v="0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1"/>
    <m/>
    <m/>
    <s v="6-10 Years"/>
    <x v="0"/>
  </r>
  <r>
    <n v="22"/>
    <x v="1"/>
    <x v="0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1"/>
    <m/>
    <m/>
    <s v="3-5 Years"/>
    <x v="0"/>
  </r>
  <r>
    <n v="48"/>
    <x v="1"/>
    <x v="0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1"/>
    <m/>
    <m/>
    <s v="0-2 Years"/>
    <x v="0"/>
  </r>
  <r>
    <n v="48"/>
    <x v="1"/>
    <x v="0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1"/>
    <m/>
    <m/>
    <s v="11-15 Years"/>
    <x v="1"/>
  </r>
  <r>
    <n v="41"/>
    <x v="1"/>
    <x v="0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1"/>
    <m/>
    <m/>
    <s v="0-2 Years"/>
    <x v="0"/>
  </r>
  <r>
    <n v="39"/>
    <x v="1"/>
    <x v="0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1"/>
    <m/>
    <m/>
    <s v="21+ Years"/>
    <x v="3"/>
  </r>
  <r>
    <n v="27"/>
    <x v="1"/>
    <x v="0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1"/>
    <m/>
    <m/>
    <s v="3-5 Years"/>
    <x v="0"/>
  </r>
  <r>
    <n v="35"/>
    <x v="1"/>
    <x v="0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1"/>
    <m/>
    <m/>
    <s v="3-5 Years"/>
    <x v="0"/>
  </r>
  <r>
    <n v="42"/>
    <x v="1"/>
    <x v="0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1"/>
    <m/>
    <m/>
    <s v="0-2 Years"/>
    <x v="0"/>
  </r>
  <r>
    <n v="50"/>
    <x v="1"/>
    <x v="0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1"/>
    <m/>
    <m/>
    <s v="0-2 Years"/>
    <x v="0"/>
  </r>
  <r>
    <n v="59"/>
    <x v="1"/>
    <x v="0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1"/>
    <m/>
    <m/>
    <s v="3-5 Years"/>
    <x v="1"/>
  </r>
  <r>
    <n v="37"/>
    <x v="0"/>
    <x v="0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m/>
    <m/>
    <s v="0-2 Years"/>
    <x v="0"/>
  </r>
  <r>
    <n v="55"/>
    <x v="1"/>
    <x v="1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1"/>
    <m/>
    <m/>
    <s v="6-10 Years"/>
    <x v="2"/>
  </r>
  <r>
    <n v="41"/>
    <x v="1"/>
    <x v="2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1"/>
    <m/>
    <m/>
    <s v="21+ Years"/>
    <x v="1"/>
  </r>
  <r>
    <n v="38"/>
    <x v="1"/>
    <x v="0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1"/>
    <m/>
    <m/>
    <s v="0-2 Years"/>
    <x v="0"/>
  </r>
  <r>
    <n v="26"/>
    <x v="0"/>
    <x v="2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m/>
    <m/>
    <s v="0-2 Years"/>
    <x v="0"/>
  </r>
  <r>
    <n v="52"/>
    <x v="0"/>
    <x v="0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m/>
    <m/>
    <s v="21+ Years"/>
    <x v="2"/>
  </r>
  <r>
    <n v="44"/>
    <x v="1"/>
    <x v="0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1"/>
    <m/>
    <m/>
    <s v="11-15 Years"/>
    <x v="3"/>
  </r>
  <r>
    <n v="50"/>
    <x v="1"/>
    <x v="2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1"/>
    <m/>
    <m/>
    <s v="16-20 Years"/>
    <x v="0"/>
  </r>
  <r>
    <n v="36"/>
    <x v="0"/>
    <x v="0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m/>
    <m/>
    <s v="16-20 Years"/>
    <x v="3"/>
  </r>
  <r>
    <n v="39"/>
    <x v="1"/>
    <x v="1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1"/>
    <m/>
    <m/>
    <s v="21+ Years"/>
    <x v="0"/>
  </r>
  <r>
    <n v="33"/>
    <x v="1"/>
    <x v="2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1"/>
    <m/>
    <m/>
    <s v="0-2 Years"/>
    <x v="0"/>
  </r>
  <r>
    <n v="45"/>
    <x v="1"/>
    <x v="0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1"/>
    <m/>
    <m/>
    <s v="6-10 Years"/>
    <x v="0"/>
  </r>
  <r>
    <n v="32"/>
    <x v="1"/>
    <x v="2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1"/>
    <m/>
    <m/>
    <s v="6-10 Years"/>
    <x v="2"/>
  </r>
  <r>
    <n v="34"/>
    <x v="1"/>
    <x v="0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1"/>
    <m/>
    <m/>
    <s v="11-15 Years"/>
    <x v="0"/>
  </r>
  <r>
    <n v="59"/>
    <x v="1"/>
    <x v="0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1"/>
    <m/>
    <m/>
    <s v="6-10 Years"/>
    <x v="0"/>
  </r>
  <r>
    <n v="45"/>
    <x v="1"/>
    <x v="0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1"/>
    <m/>
    <m/>
    <s v="6-10 Years"/>
    <x v="0"/>
  </r>
  <r>
    <n v="53"/>
    <x v="1"/>
    <x v="1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1"/>
    <m/>
    <m/>
    <s v="11-15 Years"/>
    <x v="2"/>
  </r>
  <r>
    <n v="36"/>
    <x v="0"/>
    <x v="0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m/>
    <m/>
    <s v="0-2 Years"/>
    <x v="0"/>
  </r>
  <r>
    <n v="26"/>
    <x v="0"/>
    <x v="1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m/>
    <m/>
    <s v="3-5 Years"/>
    <x v="0"/>
  </r>
  <r>
    <n v="34"/>
    <x v="1"/>
    <x v="0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1"/>
    <m/>
    <m/>
    <s v="0-2 Years"/>
    <x v="0"/>
  </r>
  <r>
    <n v="28"/>
    <x v="1"/>
    <x v="0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1"/>
    <m/>
    <m/>
    <s v="0-2 Years"/>
    <x v="0"/>
  </r>
  <r>
    <n v="38"/>
    <x v="1"/>
    <x v="1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1"/>
    <m/>
    <m/>
    <s v="0-2 Years"/>
    <x v="0"/>
  </r>
  <r>
    <n v="50"/>
    <x v="1"/>
    <x v="0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1"/>
    <m/>
    <m/>
    <s v="6-10 Years"/>
    <x v="2"/>
  </r>
  <r>
    <n v="37"/>
    <x v="1"/>
    <x v="0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1"/>
    <m/>
    <m/>
    <s v="3-5 Years"/>
    <x v="0"/>
  </r>
  <r>
    <n v="40"/>
    <x v="1"/>
    <x v="0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1"/>
    <m/>
    <m/>
    <s v="6-10 Years"/>
    <x v="2"/>
  </r>
  <r>
    <n v="26"/>
    <x v="1"/>
    <x v="1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1"/>
    <m/>
    <m/>
    <s v="3-5 Years"/>
    <x v="0"/>
  </r>
  <r>
    <n v="46"/>
    <x v="1"/>
    <x v="0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1"/>
    <m/>
    <m/>
    <s v="0-2 Years"/>
    <x v="0"/>
  </r>
  <r>
    <n v="54"/>
    <x v="1"/>
    <x v="0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1"/>
    <m/>
    <m/>
    <s v="6-10 Years"/>
    <x v="2"/>
  </r>
  <r>
    <n v="56"/>
    <x v="1"/>
    <x v="1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1"/>
    <m/>
    <m/>
    <s v="3-5 Years"/>
    <x v="0"/>
  </r>
  <r>
    <n v="36"/>
    <x v="1"/>
    <x v="0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1"/>
    <m/>
    <m/>
    <s v="11-15 Years"/>
    <x v="2"/>
  </r>
  <r>
    <n v="55"/>
    <x v="1"/>
    <x v="2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1"/>
    <m/>
    <m/>
    <s v="6-10 Years"/>
    <x v="2"/>
  </r>
  <r>
    <n v="43"/>
    <x v="1"/>
    <x v="0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1"/>
    <m/>
    <m/>
    <s v="0-2 Years"/>
    <x v="0"/>
  </r>
  <r>
    <n v="20"/>
    <x v="0"/>
    <x v="1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m/>
    <m/>
    <s v="0-2 Years"/>
    <x v="0"/>
  </r>
  <r>
    <n v="21"/>
    <x v="0"/>
    <x v="0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m/>
    <m/>
    <s v="0-2 Years"/>
    <x v="0"/>
  </r>
  <r>
    <n v="46"/>
    <x v="1"/>
    <x v="0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1"/>
    <m/>
    <m/>
    <s v="16-20 Years"/>
    <x v="0"/>
  </r>
  <r>
    <n v="51"/>
    <x v="0"/>
    <x v="0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m/>
    <m/>
    <s v="6-10 Years"/>
    <x v="0"/>
  </r>
  <r>
    <n v="28"/>
    <x v="0"/>
    <x v="2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m/>
    <m/>
    <s v="6-10 Years"/>
    <x v="0"/>
  </r>
  <r>
    <n v="26"/>
    <x v="1"/>
    <x v="0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1"/>
    <m/>
    <m/>
    <s v="3-5 Years"/>
    <x v="0"/>
  </r>
  <r>
    <n v="30"/>
    <x v="1"/>
    <x v="0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1"/>
    <m/>
    <m/>
    <s v="6-10 Years"/>
    <x v="0"/>
  </r>
  <r>
    <n v="41"/>
    <x v="1"/>
    <x v="0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1"/>
    <m/>
    <m/>
    <s v="6-10 Years"/>
    <x v="0"/>
  </r>
  <r>
    <n v="38"/>
    <x v="1"/>
    <x v="0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1"/>
    <m/>
    <m/>
    <s v="16-20 Years"/>
    <x v="0"/>
  </r>
  <r>
    <n v="40"/>
    <x v="1"/>
    <x v="0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1"/>
    <m/>
    <m/>
    <s v="11-15 Years"/>
    <x v="3"/>
  </r>
  <r>
    <n v="27"/>
    <x v="1"/>
    <x v="2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1"/>
    <m/>
    <m/>
    <s v="3-5 Years"/>
    <x v="0"/>
  </r>
  <r>
    <n v="55"/>
    <x v="1"/>
    <x v="1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1"/>
    <m/>
    <m/>
    <s v="3-5 Years"/>
    <x v="0"/>
  </r>
  <r>
    <n v="28"/>
    <x v="1"/>
    <x v="0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1"/>
    <m/>
    <m/>
    <s v="6-10 Years"/>
    <x v="0"/>
  </r>
  <r>
    <n v="44"/>
    <x v="0"/>
    <x v="0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m/>
    <m/>
    <s v="16-20 Years"/>
    <x v="1"/>
  </r>
  <r>
    <n v="33"/>
    <x v="1"/>
    <x v="0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1"/>
    <m/>
    <m/>
    <s v="3-5 Years"/>
    <x v="0"/>
  </r>
  <r>
    <n v="35"/>
    <x v="0"/>
    <x v="0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m/>
    <m/>
    <s v="6-10 Years"/>
    <x v="1"/>
  </r>
  <r>
    <n v="33"/>
    <x v="0"/>
    <x v="1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m/>
    <m/>
    <s v="11-15 Years"/>
    <x v="1"/>
  </r>
  <r>
    <n v="28"/>
    <x v="1"/>
    <x v="0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1"/>
    <m/>
    <m/>
    <s v="3-5 Years"/>
    <x v="0"/>
  </r>
  <r>
    <n v="34"/>
    <x v="1"/>
    <x v="1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1"/>
    <m/>
    <m/>
    <s v="6-10 Years"/>
    <x v="0"/>
  </r>
  <r>
    <n v="37"/>
    <x v="1"/>
    <x v="0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1"/>
    <m/>
    <m/>
    <s v="0-2 Years"/>
    <x v="0"/>
  </r>
  <r>
    <n v="25"/>
    <x v="0"/>
    <x v="0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m/>
    <m/>
    <s v="6-10 Years"/>
    <x v="1"/>
  </r>
  <r>
    <n v="26"/>
    <x v="0"/>
    <x v="0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m/>
    <m/>
    <s v="0-2 Years"/>
    <x v="0"/>
  </r>
  <r>
    <n v="33"/>
    <x v="0"/>
    <x v="0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m/>
    <m/>
    <s v="0-2 Years"/>
    <x v="0"/>
  </r>
  <r>
    <n v="42"/>
    <x v="1"/>
    <x v="0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1"/>
    <m/>
    <m/>
    <s v="21+ Years"/>
    <x v="3"/>
  </r>
  <r>
    <n v="28"/>
    <x v="0"/>
    <x v="1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m/>
    <m/>
    <s v="0-2 Years"/>
    <x v="0"/>
  </r>
  <r>
    <n v="50"/>
    <x v="0"/>
    <x v="1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m/>
    <m/>
    <s v="0-2 Years"/>
    <x v="0"/>
  </r>
  <r>
    <n v="33"/>
    <x v="1"/>
    <x v="1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1"/>
    <m/>
    <m/>
    <s v="3-5 Years"/>
    <x v="0"/>
  </r>
  <r>
    <n v="34"/>
    <x v="1"/>
    <x v="2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1"/>
    <m/>
    <m/>
    <s v="0-2 Years"/>
    <x v="0"/>
  </r>
  <r>
    <n v="48"/>
    <x v="1"/>
    <x v="2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1"/>
    <m/>
    <m/>
    <s v="3-5 Years"/>
    <x v="0"/>
  </r>
  <r>
    <n v="45"/>
    <x v="1"/>
    <x v="2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1"/>
    <m/>
    <m/>
    <s v="11-15 Years"/>
    <x v="1"/>
  </r>
  <r>
    <n v="52"/>
    <x v="1"/>
    <x v="0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1"/>
    <m/>
    <m/>
    <s v="6-10 Years"/>
    <x v="1"/>
  </r>
  <r>
    <n v="38"/>
    <x v="1"/>
    <x v="0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1"/>
    <m/>
    <m/>
    <s v="6-10 Years"/>
    <x v="0"/>
  </r>
  <r>
    <n v="29"/>
    <x v="1"/>
    <x v="0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1"/>
    <m/>
    <m/>
    <s v="6-10 Years"/>
    <x v="0"/>
  </r>
  <r>
    <n v="28"/>
    <x v="1"/>
    <x v="0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1"/>
    <m/>
    <m/>
    <s v="6-10 Years"/>
    <x v="0"/>
  </r>
  <r>
    <n v="46"/>
    <x v="1"/>
    <x v="0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1"/>
    <m/>
    <m/>
    <s v="11-15 Years"/>
    <x v="1"/>
  </r>
  <r>
    <n v="38"/>
    <x v="1"/>
    <x v="0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1"/>
    <m/>
    <m/>
    <s v="0-2 Years"/>
    <x v="0"/>
  </r>
  <r>
    <n v="43"/>
    <x v="1"/>
    <x v="1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1"/>
    <m/>
    <m/>
    <s v="6-10 Years"/>
    <x v="0"/>
  </r>
  <r>
    <n v="39"/>
    <x v="0"/>
    <x v="1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m/>
    <m/>
    <s v="16-20 Years"/>
    <x v="3"/>
  </r>
  <r>
    <n v="40"/>
    <x v="1"/>
    <x v="0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1"/>
    <m/>
    <m/>
    <s v="16-20 Years"/>
    <x v="1"/>
  </r>
  <r>
    <n v="21"/>
    <x v="1"/>
    <x v="0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1"/>
    <m/>
    <m/>
    <s v="0-2 Years"/>
    <x v="0"/>
  </r>
  <r>
    <n v="39"/>
    <x v="1"/>
    <x v="2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1"/>
    <m/>
    <m/>
    <s v="3-5 Years"/>
    <x v="0"/>
  </r>
  <r>
    <n v="36"/>
    <x v="1"/>
    <x v="2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1"/>
    <m/>
    <m/>
    <s v="11-15 Years"/>
    <x v="0"/>
  </r>
  <r>
    <n v="31"/>
    <x v="1"/>
    <x v="1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1"/>
    <m/>
    <m/>
    <s v="0-2 Years"/>
    <x v="0"/>
  </r>
  <r>
    <n v="28"/>
    <x v="1"/>
    <x v="0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1"/>
    <m/>
    <m/>
    <s v="3-5 Years"/>
    <x v="0"/>
  </r>
  <r>
    <n v="35"/>
    <x v="1"/>
    <x v="1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1"/>
    <m/>
    <m/>
    <s v="3-5 Years"/>
    <x v="0"/>
  </r>
  <r>
    <n v="49"/>
    <x v="1"/>
    <x v="0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1"/>
    <m/>
    <m/>
    <s v="6-10 Years"/>
    <x v="0"/>
  </r>
  <r>
    <n v="34"/>
    <x v="1"/>
    <x v="1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1"/>
    <m/>
    <m/>
    <s v="3-5 Years"/>
    <x v="0"/>
  </r>
  <r>
    <n v="29"/>
    <x v="1"/>
    <x v="1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1"/>
    <m/>
    <m/>
    <s v="6-10 Years"/>
    <x v="0"/>
  </r>
  <r>
    <n v="42"/>
    <x v="1"/>
    <x v="0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1"/>
    <m/>
    <m/>
    <s v="0-2 Years"/>
    <x v="0"/>
  </r>
  <r>
    <n v="29"/>
    <x v="1"/>
    <x v="0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1"/>
    <m/>
    <m/>
    <s v="6-10 Years"/>
    <x v="0"/>
  </r>
  <r>
    <n v="38"/>
    <x v="1"/>
    <x v="0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1"/>
    <m/>
    <m/>
    <s v="6-10 Years"/>
    <x v="1"/>
  </r>
  <r>
    <n v="28"/>
    <x v="1"/>
    <x v="1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1"/>
    <m/>
    <m/>
    <s v="3-5 Years"/>
    <x v="0"/>
  </r>
  <r>
    <n v="18"/>
    <x v="0"/>
    <x v="2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m/>
    <m/>
    <s v="0-2 Years"/>
    <x v="0"/>
  </r>
  <r>
    <n v="33"/>
    <x v="0"/>
    <x v="0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m/>
    <m/>
    <s v="3-5 Years"/>
    <x v="0"/>
  </r>
  <r>
    <n v="41"/>
    <x v="1"/>
    <x v="0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1"/>
    <m/>
    <m/>
    <s v="0-2 Years"/>
    <x v="0"/>
  </r>
  <r>
    <n v="31"/>
    <x v="0"/>
    <x v="1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m/>
    <m/>
    <s v="0-2 Years"/>
    <x v="0"/>
  </r>
  <r>
    <n v="37"/>
    <x v="1"/>
    <x v="0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1"/>
    <m/>
    <m/>
    <s v="6-10 Years"/>
    <x v="0"/>
  </r>
  <r>
    <n v="27"/>
    <x v="1"/>
    <x v="0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1"/>
    <m/>
    <m/>
    <s v="3-5 Years"/>
    <x v="0"/>
  </r>
  <r>
    <n v="34"/>
    <x v="1"/>
    <x v="0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1"/>
    <m/>
    <m/>
    <s v="6-10 Years"/>
    <x v="0"/>
  </r>
  <r>
    <n v="35"/>
    <x v="1"/>
    <x v="0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1"/>
    <m/>
    <m/>
    <s v="3-5 Years"/>
    <x v="0"/>
  </r>
  <r>
    <n v="29"/>
    <x v="0"/>
    <x v="0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m/>
    <m/>
    <s v="11-15 Years"/>
    <x v="1"/>
  </r>
  <r>
    <n v="40"/>
    <x v="1"/>
    <x v="1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1"/>
    <m/>
    <m/>
    <s v="16-20 Years"/>
    <x v="0"/>
  </r>
  <r>
    <n v="42"/>
    <x v="0"/>
    <x v="1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m/>
    <m/>
    <s v="21+ Years"/>
    <x v="3"/>
  </r>
  <r>
    <n v="42"/>
    <x v="1"/>
    <x v="0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1"/>
    <m/>
    <m/>
    <s v="6-10 Years"/>
    <x v="0"/>
  </r>
  <r>
    <n v="35"/>
    <x v="1"/>
    <x v="0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1"/>
    <m/>
    <m/>
    <s v="6-10 Years"/>
    <x v="0"/>
  </r>
  <r>
    <n v="24"/>
    <x v="1"/>
    <x v="0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1"/>
    <m/>
    <m/>
    <s v="3-5 Years"/>
    <x v="0"/>
  </r>
  <r>
    <n v="28"/>
    <x v="0"/>
    <x v="0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m/>
    <m/>
    <s v="0-2 Years"/>
    <x v="0"/>
  </r>
  <r>
    <n v="26"/>
    <x v="1"/>
    <x v="0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1"/>
    <m/>
    <m/>
    <s v="6-10 Years"/>
    <x v="0"/>
  </r>
  <r>
    <n v="30"/>
    <x v="1"/>
    <x v="0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1"/>
    <m/>
    <m/>
    <s v="6-10 Years"/>
    <x v="0"/>
  </r>
  <r>
    <n v="40"/>
    <x v="1"/>
    <x v="1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1"/>
    <m/>
    <m/>
    <s v="0-2 Years"/>
    <x v="0"/>
  </r>
  <r>
    <n v="35"/>
    <x v="1"/>
    <x v="0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1"/>
    <m/>
    <m/>
    <s v="6-10 Years"/>
    <x v="2"/>
  </r>
  <r>
    <n v="34"/>
    <x v="1"/>
    <x v="1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1"/>
    <m/>
    <m/>
    <s v="11-15 Years"/>
    <x v="1"/>
  </r>
  <r>
    <n v="35"/>
    <x v="1"/>
    <x v="1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1"/>
    <m/>
    <m/>
    <s v="0-2 Years"/>
    <x v="0"/>
  </r>
  <r>
    <n v="43"/>
    <x v="0"/>
    <x v="0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m/>
    <m/>
    <s v="3-5 Years"/>
    <x v="0"/>
  </r>
  <r>
    <n v="32"/>
    <x v="1"/>
    <x v="2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1"/>
    <m/>
    <m/>
    <s v="0-2 Years"/>
    <x v="0"/>
  </r>
  <r>
    <n v="56"/>
    <x v="1"/>
    <x v="0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1"/>
    <m/>
    <m/>
    <s v="3-5 Years"/>
    <x v="1"/>
  </r>
  <r>
    <n v="29"/>
    <x v="1"/>
    <x v="0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1"/>
    <m/>
    <m/>
    <s v="6-10 Years"/>
    <x v="0"/>
  </r>
  <r>
    <n v="19"/>
    <x v="1"/>
    <x v="0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1"/>
    <m/>
    <m/>
    <s v="0-2 Years"/>
    <x v="0"/>
  </r>
  <r>
    <n v="45"/>
    <x v="1"/>
    <x v="0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1"/>
    <m/>
    <m/>
    <s v="3-5 Years"/>
    <x v="0"/>
  </r>
  <r>
    <n v="37"/>
    <x v="1"/>
    <x v="0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1"/>
    <m/>
    <m/>
    <s v="11-15 Years"/>
    <x v="1"/>
  </r>
  <r>
    <n v="20"/>
    <x v="1"/>
    <x v="0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1"/>
    <m/>
    <m/>
    <s v="0-2 Years"/>
    <x v="0"/>
  </r>
  <r>
    <n v="44"/>
    <x v="0"/>
    <x v="0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m/>
    <m/>
    <s v="6-10 Years"/>
    <x v="0"/>
  </r>
  <r>
    <n v="53"/>
    <x v="1"/>
    <x v="0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1"/>
    <m/>
    <m/>
    <s v="6-10 Years"/>
    <x v="1"/>
  </r>
  <r>
    <n v="29"/>
    <x v="1"/>
    <x v="0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1"/>
    <m/>
    <m/>
    <s v="3-5 Years"/>
    <x v="0"/>
  </r>
  <r>
    <n v="22"/>
    <x v="0"/>
    <x v="1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m/>
    <m/>
    <s v="0-2 Years"/>
    <x v="0"/>
  </r>
  <r>
    <n v="46"/>
    <x v="1"/>
    <x v="0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1"/>
    <m/>
    <m/>
    <s v="21+ Years"/>
    <x v="3"/>
  </r>
  <r>
    <n v="44"/>
    <x v="1"/>
    <x v="2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1"/>
    <m/>
    <m/>
    <s v="0-2 Years"/>
    <x v="0"/>
  </r>
  <r>
    <n v="33"/>
    <x v="1"/>
    <x v="0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1"/>
    <m/>
    <m/>
    <s v="3-5 Years"/>
    <x v="0"/>
  </r>
  <r>
    <n v="41"/>
    <x v="0"/>
    <x v="2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m/>
    <m/>
    <s v="0-2 Years"/>
    <x v="0"/>
  </r>
  <r>
    <n v="30"/>
    <x v="1"/>
    <x v="0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1"/>
    <m/>
    <m/>
    <s v="3-5 Years"/>
    <x v="0"/>
  </r>
  <r>
    <n v="40"/>
    <x v="1"/>
    <x v="1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1"/>
    <m/>
    <m/>
    <s v="0-2 Years"/>
    <x v="0"/>
  </r>
  <r>
    <n v="50"/>
    <x v="1"/>
    <x v="1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1"/>
    <m/>
    <m/>
    <s v="0-2 Years"/>
    <x v="0"/>
  </r>
  <r>
    <n v="28"/>
    <x v="1"/>
    <x v="0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1"/>
    <m/>
    <m/>
    <s v="6-10 Years"/>
    <x v="1"/>
  </r>
  <r>
    <n v="46"/>
    <x v="1"/>
    <x v="0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1"/>
    <m/>
    <m/>
    <s v="3-5 Years"/>
    <x v="0"/>
  </r>
  <r>
    <n v="35"/>
    <x v="1"/>
    <x v="0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1"/>
    <m/>
    <m/>
    <s v="6-10 Years"/>
    <x v="0"/>
  </r>
  <r>
    <n v="24"/>
    <x v="0"/>
    <x v="0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m/>
    <m/>
    <s v="0-2 Years"/>
    <x v="0"/>
  </r>
  <r>
    <n v="33"/>
    <x v="1"/>
    <x v="1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1"/>
    <m/>
    <m/>
    <s v="6-10 Years"/>
    <x v="0"/>
  </r>
  <r>
    <n v="36"/>
    <x v="1"/>
    <x v="0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1"/>
    <m/>
    <m/>
    <s v="6-10 Years"/>
    <x v="0"/>
  </r>
  <r>
    <n v="30"/>
    <x v="1"/>
    <x v="0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1"/>
    <m/>
    <m/>
    <s v="6-10 Years"/>
    <x v="2"/>
  </r>
  <r>
    <n v="44"/>
    <x v="1"/>
    <x v="0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1"/>
    <m/>
    <m/>
    <s v="16-20 Years"/>
    <x v="3"/>
  </r>
  <r>
    <n v="20"/>
    <x v="1"/>
    <x v="0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1"/>
    <m/>
    <m/>
    <s v="0-2 Years"/>
    <x v="0"/>
  </r>
  <r>
    <n v="46"/>
    <x v="1"/>
    <x v="0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1"/>
    <m/>
    <m/>
    <s v="6-10 Years"/>
    <x v="0"/>
  </r>
  <r>
    <n v="42"/>
    <x v="1"/>
    <x v="2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1"/>
    <m/>
    <m/>
    <s v="3-5 Years"/>
    <x v="0"/>
  </r>
  <r>
    <n v="60"/>
    <x v="1"/>
    <x v="0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1"/>
    <m/>
    <m/>
    <s v="11-15 Years"/>
    <x v="0"/>
  </r>
  <r>
    <n v="32"/>
    <x v="1"/>
    <x v="1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1"/>
    <m/>
    <m/>
    <s v="0-2 Years"/>
    <x v="0"/>
  </r>
  <r>
    <n v="32"/>
    <x v="1"/>
    <x v="1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1"/>
    <m/>
    <m/>
    <s v="6-10 Years"/>
    <x v="0"/>
  </r>
  <r>
    <n v="36"/>
    <x v="1"/>
    <x v="0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1"/>
    <m/>
    <m/>
    <s v="6-10 Years"/>
    <x v="2"/>
  </r>
  <r>
    <n v="33"/>
    <x v="1"/>
    <x v="0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1"/>
    <m/>
    <m/>
    <s v="11-15 Years"/>
    <x v="1"/>
  </r>
  <r>
    <n v="40"/>
    <x v="1"/>
    <x v="0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1"/>
    <m/>
    <m/>
    <s v="3-5 Years"/>
    <x v="0"/>
  </r>
  <r>
    <n v="25"/>
    <x v="1"/>
    <x v="0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1"/>
    <m/>
    <m/>
    <s v="3-5 Years"/>
    <x v="0"/>
  </r>
  <r>
    <n v="30"/>
    <x v="1"/>
    <x v="0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1"/>
    <m/>
    <m/>
    <s v="11-15 Years"/>
    <x v="1"/>
  </r>
  <r>
    <n v="42"/>
    <x v="1"/>
    <x v="1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1"/>
    <m/>
    <m/>
    <s v="0-2 Years"/>
    <x v="0"/>
  </r>
  <r>
    <n v="35"/>
    <x v="1"/>
    <x v="2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1"/>
    <m/>
    <m/>
    <s v="11-15 Years"/>
    <x v="1"/>
  </r>
  <r>
    <n v="27"/>
    <x v="1"/>
    <x v="0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1"/>
    <m/>
    <m/>
    <s v="6-10 Years"/>
    <x v="2"/>
  </r>
  <r>
    <n v="54"/>
    <x v="1"/>
    <x v="1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1"/>
    <m/>
    <m/>
    <s v="3-5 Years"/>
    <x v="0"/>
  </r>
  <r>
    <n v="44"/>
    <x v="1"/>
    <x v="0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1"/>
    <m/>
    <m/>
    <s v="6-10 Years"/>
    <x v="2"/>
  </r>
  <r>
    <n v="19"/>
    <x v="0"/>
    <x v="2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m/>
    <m/>
    <s v="0-2 Years"/>
    <x v="0"/>
  </r>
  <r>
    <n v="29"/>
    <x v="1"/>
    <x v="0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1"/>
    <m/>
    <m/>
    <s v="3-5 Years"/>
    <x v="0"/>
  </r>
  <r>
    <n v="54"/>
    <x v="1"/>
    <x v="0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1"/>
    <m/>
    <m/>
    <s v="6-10 Years"/>
    <x v="0"/>
  </r>
  <r>
    <n v="31"/>
    <x v="1"/>
    <x v="0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1"/>
    <m/>
    <m/>
    <s v="6-10 Years"/>
    <x v="0"/>
  </r>
  <r>
    <n v="31"/>
    <x v="1"/>
    <x v="0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1"/>
    <m/>
    <m/>
    <s v="6-10 Years"/>
    <x v="0"/>
  </r>
  <r>
    <n v="59"/>
    <x v="1"/>
    <x v="0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1"/>
    <m/>
    <m/>
    <s v="6-10 Years"/>
    <x v="0"/>
  </r>
  <r>
    <n v="43"/>
    <x v="1"/>
    <x v="0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1"/>
    <m/>
    <m/>
    <s v="6-10 Years"/>
    <x v="0"/>
  </r>
  <r>
    <n v="49"/>
    <x v="1"/>
    <x v="0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1"/>
    <m/>
    <m/>
    <s v="0-2 Years"/>
    <x v="0"/>
  </r>
  <r>
    <n v="36"/>
    <x v="1"/>
    <x v="1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1"/>
    <m/>
    <m/>
    <s v="11-15 Years"/>
    <x v="0"/>
  </r>
  <r>
    <n v="48"/>
    <x v="1"/>
    <x v="0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1"/>
    <m/>
    <m/>
    <s v="0-2 Years"/>
    <x v="0"/>
  </r>
  <r>
    <n v="27"/>
    <x v="1"/>
    <x v="0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1"/>
    <m/>
    <m/>
    <s v="3-5 Years"/>
    <x v="0"/>
  </r>
  <r>
    <n v="29"/>
    <x v="1"/>
    <x v="0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1"/>
    <m/>
    <m/>
    <s v="6-10 Years"/>
    <x v="0"/>
  </r>
  <r>
    <n v="48"/>
    <x v="1"/>
    <x v="0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1"/>
    <m/>
    <m/>
    <s v="0-2 Years"/>
    <x v="0"/>
  </r>
  <r>
    <n v="29"/>
    <x v="1"/>
    <x v="0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1"/>
    <m/>
    <m/>
    <s v="6-10 Years"/>
    <x v="0"/>
  </r>
  <r>
    <n v="34"/>
    <x v="1"/>
    <x v="0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1"/>
    <m/>
    <m/>
    <s v="0-2 Years"/>
    <x v="0"/>
  </r>
  <r>
    <n v="44"/>
    <x v="1"/>
    <x v="0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1"/>
    <m/>
    <m/>
    <s v="21+ Years"/>
    <x v="1"/>
  </r>
  <r>
    <n v="33"/>
    <x v="1"/>
    <x v="0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1"/>
    <m/>
    <m/>
    <s v="6-10 Years"/>
    <x v="0"/>
  </r>
  <r>
    <n v="19"/>
    <x v="1"/>
    <x v="0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1"/>
    <m/>
    <m/>
    <s v="0-2 Years"/>
    <x v="0"/>
  </r>
  <r>
    <n v="23"/>
    <x v="1"/>
    <x v="0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1"/>
    <m/>
    <m/>
    <s v="0-2 Years"/>
    <x v="0"/>
  </r>
  <r>
    <n v="25"/>
    <x v="0"/>
    <x v="1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m/>
    <m/>
    <s v="0-2 Years"/>
    <x v="0"/>
  </r>
  <r>
    <n v="26"/>
    <x v="1"/>
    <x v="0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1"/>
    <m/>
    <m/>
    <s v="6-10 Years"/>
    <x v="0"/>
  </r>
  <r>
    <n v="45"/>
    <x v="0"/>
    <x v="0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m/>
    <m/>
    <s v="21+ Years"/>
    <x v="0"/>
  </r>
  <r>
    <n v="55"/>
    <x v="1"/>
    <x v="2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1"/>
    <m/>
    <m/>
    <s v="21+ Years"/>
    <x v="3"/>
  </r>
  <r>
    <n v="21"/>
    <x v="0"/>
    <x v="1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m/>
    <m/>
    <s v="0-2 Years"/>
    <x v="0"/>
  </r>
  <r>
    <n v="46"/>
    <x v="1"/>
    <x v="0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1"/>
    <m/>
    <m/>
    <s v="11-15 Years"/>
    <x v="0"/>
  </r>
  <r>
    <n v="34"/>
    <x v="1"/>
    <x v="0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1"/>
    <m/>
    <m/>
    <s v="3-5 Years"/>
    <x v="0"/>
  </r>
  <r>
    <n v="51"/>
    <x v="1"/>
    <x v="1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1"/>
    <m/>
    <m/>
    <s v="21+ Years"/>
    <x v="3"/>
  </r>
  <r>
    <n v="59"/>
    <x v="1"/>
    <x v="0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1"/>
    <m/>
    <m/>
    <s v="6-10 Years"/>
    <x v="1"/>
  </r>
  <r>
    <n v="34"/>
    <x v="1"/>
    <x v="1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1"/>
    <m/>
    <m/>
    <s v="11-15 Years"/>
    <x v="1"/>
  </r>
  <r>
    <n v="28"/>
    <x v="1"/>
    <x v="1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1"/>
    <m/>
    <m/>
    <s v="3-5 Years"/>
    <x v="0"/>
  </r>
  <r>
    <n v="44"/>
    <x v="1"/>
    <x v="0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1"/>
    <m/>
    <m/>
    <s v="21+ Years"/>
    <x v="3"/>
  </r>
  <r>
    <n v="34"/>
    <x v="1"/>
    <x v="1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1"/>
    <m/>
    <m/>
    <s v="6-10 Years"/>
    <x v="0"/>
  </r>
  <r>
    <n v="35"/>
    <x v="1"/>
    <x v="0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1"/>
    <m/>
    <m/>
    <s v="3-5 Years"/>
    <x v="0"/>
  </r>
  <r>
    <n v="42"/>
    <x v="1"/>
    <x v="0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1"/>
    <m/>
    <m/>
    <s v="0-2 Years"/>
    <x v="0"/>
  </r>
  <r>
    <n v="43"/>
    <x v="1"/>
    <x v="0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1"/>
    <m/>
    <m/>
    <s v="21+ Years"/>
    <x v="3"/>
  </r>
  <r>
    <n v="36"/>
    <x v="1"/>
    <x v="0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1"/>
    <m/>
    <m/>
    <s v="16-20 Years"/>
    <x v="1"/>
  </r>
  <r>
    <n v="44"/>
    <x v="0"/>
    <x v="0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m/>
    <m/>
    <s v="6-10 Years"/>
    <x v="0"/>
  </r>
  <r>
    <n v="28"/>
    <x v="1"/>
    <x v="1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1"/>
    <m/>
    <m/>
    <s v="0-2 Years"/>
    <x v="0"/>
  </r>
  <r>
    <n v="51"/>
    <x v="1"/>
    <x v="1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1"/>
    <m/>
    <m/>
    <s v="6-10 Years"/>
    <x v="2"/>
  </r>
  <r>
    <n v="30"/>
    <x v="1"/>
    <x v="2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1"/>
    <m/>
    <m/>
    <s v="6-10 Years"/>
    <x v="0"/>
  </r>
  <r>
    <n v="29"/>
    <x v="0"/>
    <x v="0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m/>
    <m/>
    <s v="6-10 Years"/>
    <x v="2"/>
  </r>
  <r>
    <n v="28"/>
    <x v="1"/>
    <x v="0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1"/>
    <m/>
    <m/>
    <s v="3-5 Years"/>
    <x v="0"/>
  </r>
  <r>
    <n v="25"/>
    <x v="1"/>
    <x v="0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1"/>
    <m/>
    <m/>
    <s v="0-2 Years"/>
    <x v="0"/>
  </r>
  <r>
    <n v="32"/>
    <x v="1"/>
    <x v="0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1"/>
    <m/>
    <m/>
    <s v="6-10 Years"/>
    <x v="0"/>
  </r>
  <r>
    <n v="45"/>
    <x v="1"/>
    <x v="1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1"/>
    <m/>
    <m/>
    <s v="0-2 Years"/>
    <x v="0"/>
  </r>
  <r>
    <n v="39"/>
    <x v="1"/>
    <x v="0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1"/>
    <m/>
    <m/>
    <s v="16-20 Years"/>
    <x v="3"/>
  </r>
  <r>
    <n v="58"/>
    <x v="1"/>
    <x v="0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1"/>
    <m/>
    <m/>
    <s v="0-2 Years"/>
    <x v="0"/>
  </r>
  <r>
    <n v="32"/>
    <x v="0"/>
    <x v="0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m/>
    <m/>
    <s v="6-10 Years"/>
    <x v="0"/>
  </r>
  <r>
    <n v="39"/>
    <x v="0"/>
    <x v="0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m/>
    <m/>
    <s v="3-5 Years"/>
    <x v="0"/>
  </r>
  <r>
    <n v="30"/>
    <x v="1"/>
    <x v="0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1"/>
    <m/>
    <m/>
    <s v="6-10 Years"/>
    <x v="2"/>
  </r>
  <r>
    <n v="36"/>
    <x v="1"/>
    <x v="0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1"/>
    <m/>
    <m/>
    <s v="6-10 Years"/>
    <x v="0"/>
  </r>
  <r>
    <n v="46"/>
    <x v="1"/>
    <x v="0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1"/>
    <m/>
    <m/>
    <s v="6-10 Years"/>
    <x v="1"/>
  </r>
  <r>
    <n v="28"/>
    <x v="1"/>
    <x v="2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1"/>
    <m/>
    <m/>
    <s v="6-10 Years"/>
    <x v="2"/>
  </r>
  <r>
    <n v="50"/>
    <x v="1"/>
    <x v="0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1"/>
    <m/>
    <m/>
    <s v="3-5 Years"/>
    <x v="0"/>
  </r>
  <r>
    <n v="40"/>
    <x v="0"/>
    <x v="0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m/>
    <m/>
    <s v="3-5 Years"/>
    <x v="0"/>
  </r>
  <r>
    <n v="52"/>
    <x v="0"/>
    <x v="0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m/>
    <m/>
    <s v="6-10 Years"/>
    <x v="2"/>
  </r>
  <r>
    <n v="30"/>
    <x v="1"/>
    <x v="0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1"/>
    <m/>
    <m/>
    <s v="6-10 Years"/>
    <x v="0"/>
  </r>
  <r>
    <n v="39"/>
    <x v="1"/>
    <x v="0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1"/>
    <m/>
    <m/>
    <s v="6-10 Years"/>
    <x v="0"/>
  </r>
  <r>
    <n v="31"/>
    <x v="1"/>
    <x v="2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1"/>
    <m/>
    <m/>
    <s v="6-10 Years"/>
    <x v="2"/>
  </r>
  <r>
    <n v="41"/>
    <x v="1"/>
    <x v="2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1"/>
    <m/>
    <m/>
    <s v="16-20 Years"/>
    <x v="3"/>
  </r>
  <r>
    <n v="31"/>
    <x v="0"/>
    <x v="1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m/>
    <m/>
    <s v="3-5 Years"/>
    <x v="0"/>
  </r>
  <r>
    <n v="44"/>
    <x v="0"/>
    <x v="0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m/>
    <m/>
    <s v="3-5 Years"/>
    <x v="0"/>
  </r>
  <r>
    <n v="42"/>
    <x v="1"/>
    <x v="2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1"/>
    <m/>
    <m/>
    <s v="16-20 Years"/>
    <x v="0"/>
  </r>
  <r>
    <n v="55"/>
    <x v="1"/>
    <x v="0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1"/>
    <m/>
    <m/>
    <s v="16-20 Years"/>
    <x v="2"/>
  </r>
  <r>
    <n v="56"/>
    <x v="1"/>
    <x v="0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1"/>
    <m/>
    <m/>
    <s v="6-10 Years"/>
    <x v="2"/>
  </r>
  <r>
    <n v="40"/>
    <x v="1"/>
    <x v="2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1"/>
    <m/>
    <m/>
    <s v="3-5 Years"/>
    <x v="0"/>
  </r>
  <r>
    <n v="34"/>
    <x v="1"/>
    <x v="0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1"/>
    <m/>
    <m/>
    <s v="6-10 Years"/>
    <x v="0"/>
  </r>
  <r>
    <n v="40"/>
    <x v="1"/>
    <x v="0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1"/>
    <m/>
    <m/>
    <s v="6-10 Years"/>
    <x v="2"/>
  </r>
  <r>
    <n v="41"/>
    <x v="1"/>
    <x v="1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1"/>
    <m/>
    <m/>
    <s v="6-10 Years"/>
    <x v="0"/>
  </r>
  <r>
    <n v="35"/>
    <x v="1"/>
    <x v="1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1"/>
    <m/>
    <m/>
    <s v="6-10 Years"/>
    <x v="0"/>
  </r>
  <r>
    <n v="51"/>
    <x v="1"/>
    <x v="0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1"/>
    <m/>
    <m/>
    <s v="21+ Years"/>
    <x v="0"/>
  </r>
  <r>
    <n v="38"/>
    <x v="1"/>
    <x v="0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1"/>
    <m/>
    <m/>
    <s v="6-10 Years"/>
    <x v="0"/>
  </r>
  <r>
    <n v="34"/>
    <x v="1"/>
    <x v="0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1"/>
    <m/>
    <m/>
    <s v="6-10 Years"/>
    <x v="2"/>
  </r>
  <r>
    <n v="25"/>
    <x v="1"/>
    <x v="0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1"/>
    <m/>
    <m/>
    <s v="3-5 Years"/>
    <x v="0"/>
  </r>
  <r>
    <n v="58"/>
    <x v="0"/>
    <x v="0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m/>
    <m/>
    <s v="6-10 Years"/>
    <x v="1"/>
  </r>
  <r>
    <n v="40"/>
    <x v="1"/>
    <x v="0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1"/>
    <m/>
    <m/>
    <s v="3-5 Years"/>
    <x v="0"/>
  </r>
  <r>
    <n v="36"/>
    <x v="1"/>
    <x v="1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1"/>
    <m/>
    <m/>
    <s v="11-15 Years"/>
    <x v="2"/>
  </r>
  <r>
    <n v="48"/>
    <x v="1"/>
    <x v="0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1"/>
    <m/>
    <m/>
    <s v="6-10 Years"/>
    <x v="0"/>
  </r>
  <r>
    <n v="27"/>
    <x v="1"/>
    <x v="0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1"/>
    <m/>
    <m/>
    <s v="0-2 Years"/>
    <x v="0"/>
  </r>
  <r>
    <n v="51"/>
    <x v="1"/>
    <x v="0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1"/>
    <m/>
    <m/>
    <s v="3-5 Years"/>
    <x v="0"/>
  </r>
  <r>
    <n v="18"/>
    <x v="1"/>
    <x v="2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1"/>
    <m/>
    <m/>
    <s v="0-2 Years"/>
    <x v="0"/>
  </r>
  <r>
    <n v="35"/>
    <x v="1"/>
    <x v="0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1"/>
    <m/>
    <m/>
    <s v="6-10 Years"/>
    <x v="0"/>
  </r>
  <r>
    <n v="27"/>
    <x v="1"/>
    <x v="1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1"/>
    <m/>
    <m/>
    <s v="6-10 Years"/>
    <x v="0"/>
  </r>
  <r>
    <n v="55"/>
    <x v="0"/>
    <x v="0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m/>
    <m/>
    <s v="16-20 Years"/>
    <x v="1"/>
  </r>
  <r>
    <n v="56"/>
    <x v="1"/>
    <x v="0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1"/>
    <m/>
    <m/>
    <s v="16-20 Years"/>
    <x v="3"/>
  </r>
  <r>
    <n v="34"/>
    <x v="1"/>
    <x v="2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1"/>
    <m/>
    <m/>
    <s v="3-5 Years"/>
    <x v="0"/>
  </r>
  <r>
    <n v="40"/>
    <x v="1"/>
    <x v="0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1"/>
    <m/>
    <m/>
    <s v="11-15 Years"/>
    <x v="3"/>
  </r>
  <r>
    <n v="34"/>
    <x v="1"/>
    <x v="0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1"/>
    <m/>
    <m/>
    <s v="6-10 Years"/>
    <x v="2"/>
  </r>
  <r>
    <n v="31"/>
    <x v="0"/>
    <x v="1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m/>
    <m/>
    <s v="0-2 Years"/>
    <x v="0"/>
  </r>
  <r>
    <n v="35"/>
    <x v="0"/>
    <x v="1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m/>
    <m/>
    <s v="3-5 Years"/>
    <x v="1"/>
  </r>
  <r>
    <n v="38"/>
    <x v="1"/>
    <x v="1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1"/>
    <m/>
    <m/>
    <s v="3-5 Years"/>
    <x v="0"/>
  </r>
  <r>
    <n v="34"/>
    <x v="1"/>
    <x v="0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1"/>
    <m/>
    <m/>
    <s v="11-15 Years"/>
    <x v="1"/>
  </r>
  <r>
    <n v="28"/>
    <x v="1"/>
    <x v="0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1"/>
    <m/>
    <m/>
    <s v="3-5 Years"/>
    <x v="0"/>
  </r>
  <r>
    <n v="31"/>
    <x v="0"/>
    <x v="0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m/>
    <m/>
    <s v="6-10 Years"/>
    <x v="2"/>
  </r>
  <r>
    <n v="39"/>
    <x v="1"/>
    <x v="0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1"/>
    <m/>
    <m/>
    <s v="3-5 Years"/>
    <x v="0"/>
  </r>
  <r>
    <n v="51"/>
    <x v="1"/>
    <x v="1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1"/>
    <m/>
    <m/>
    <s v="3-5 Years"/>
    <x v="1"/>
  </r>
  <r>
    <n v="41"/>
    <x v="1"/>
    <x v="1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1"/>
    <m/>
    <m/>
    <s v="6-10 Years"/>
    <x v="1"/>
  </r>
  <r>
    <n v="37"/>
    <x v="1"/>
    <x v="0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1"/>
    <m/>
    <m/>
    <s v="6-10 Years"/>
    <x v="0"/>
  </r>
  <r>
    <n v="33"/>
    <x v="1"/>
    <x v="1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1"/>
    <m/>
    <m/>
    <s v="3-5 Years"/>
    <x v="0"/>
  </r>
  <r>
    <n v="32"/>
    <x v="1"/>
    <x v="0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1"/>
    <m/>
    <m/>
    <s v="3-5 Years"/>
    <x v="0"/>
  </r>
  <r>
    <n v="39"/>
    <x v="1"/>
    <x v="2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1"/>
    <m/>
    <m/>
    <s v="6-10 Years"/>
    <x v="0"/>
  </r>
  <r>
    <n v="25"/>
    <x v="1"/>
    <x v="0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1"/>
    <m/>
    <m/>
    <s v="3-5 Years"/>
    <x v="0"/>
  </r>
  <r>
    <n v="52"/>
    <x v="1"/>
    <x v="1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1"/>
    <m/>
    <m/>
    <s v="3-5 Years"/>
    <x v="0"/>
  </r>
  <r>
    <n v="43"/>
    <x v="1"/>
    <x v="0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1"/>
    <m/>
    <m/>
    <s v="16-20 Years"/>
    <x v="0"/>
  </r>
  <r>
    <n v="27"/>
    <x v="1"/>
    <x v="0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1"/>
    <m/>
    <m/>
    <s v="6-10 Years"/>
    <x v="1"/>
  </r>
  <r>
    <n v="27"/>
    <x v="0"/>
    <x v="0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m/>
    <m/>
    <s v="6-10 Years"/>
    <x v="2"/>
  </r>
  <r>
    <n v="26"/>
    <x v="1"/>
    <x v="0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1"/>
    <m/>
    <m/>
    <s v="3-5 Years"/>
    <x v="0"/>
  </r>
  <r>
    <n v="42"/>
    <x v="1"/>
    <x v="0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1"/>
    <m/>
    <m/>
    <s v="16-20 Years"/>
    <x v="0"/>
  </r>
  <r>
    <n v="52"/>
    <x v="1"/>
    <x v="0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1"/>
    <m/>
    <m/>
    <s v="3-5 Years"/>
    <x v="0"/>
  </r>
  <r>
    <n v="37"/>
    <x v="1"/>
    <x v="0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1"/>
    <m/>
    <m/>
    <s v="3-5 Years"/>
    <x v="0"/>
  </r>
  <r>
    <n v="35"/>
    <x v="1"/>
    <x v="1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1"/>
    <m/>
    <m/>
    <s v="0-2 Years"/>
    <x v="0"/>
  </r>
  <r>
    <n v="25"/>
    <x v="1"/>
    <x v="0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1"/>
    <m/>
    <m/>
    <s v="3-5 Years"/>
    <x v="0"/>
  </r>
  <r>
    <n v="26"/>
    <x v="1"/>
    <x v="0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1"/>
    <m/>
    <m/>
    <s v="6-10 Years"/>
    <x v="0"/>
  </r>
  <r>
    <n v="29"/>
    <x v="1"/>
    <x v="0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1"/>
    <m/>
    <m/>
    <s v="6-10 Years"/>
    <x v="0"/>
  </r>
  <r>
    <n v="49"/>
    <x v="0"/>
    <x v="1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m/>
    <m/>
    <s v="3-5 Years"/>
    <x v="0"/>
  </r>
  <r>
    <n v="29"/>
    <x v="0"/>
    <x v="1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m/>
    <m/>
    <s v="6-10 Years"/>
    <x v="2"/>
  </r>
  <r>
    <n v="54"/>
    <x v="1"/>
    <x v="0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1"/>
    <m/>
    <m/>
    <s v="16-20 Years"/>
    <x v="3"/>
  </r>
  <r>
    <n v="58"/>
    <x v="1"/>
    <x v="0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1"/>
    <m/>
    <m/>
    <s v="6-10 Years"/>
    <x v="0"/>
  </r>
  <r>
    <n v="55"/>
    <x v="1"/>
    <x v="0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1"/>
    <m/>
    <m/>
    <s v="6-10 Years"/>
    <x v="0"/>
  </r>
  <r>
    <n v="36"/>
    <x v="1"/>
    <x v="0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1"/>
    <m/>
    <m/>
    <s v="3-5 Years"/>
    <x v="0"/>
  </r>
  <r>
    <n v="31"/>
    <x v="0"/>
    <x v="1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m/>
    <m/>
    <s v="0-2 Years"/>
    <x v="0"/>
  </r>
  <r>
    <n v="30"/>
    <x v="1"/>
    <x v="0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1"/>
    <m/>
    <m/>
    <s v="3-5 Years"/>
    <x v="0"/>
  </r>
  <r>
    <n v="31"/>
    <x v="1"/>
    <x v="0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1"/>
    <m/>
    <m/>
    <s v="3-5 Years"/>
    <x v="0"/>
  </r>
  <r>
    <n v="34"/>
    <x v="1"/>
    <x v="1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1"/>
    <m/>
    <m/>
    <s v="3-5 Years"/>
    <x v="0"/>
  </r>
  <r>
    <n v="31"/>
    <x v="0"/>
    <x v="0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m/>
    <m/>
    <s v="0-2 Years"/>
    <x v="0"/>
  </r>
  <r>
    <n v="27"/>
    <x v="1"/>
    <x v="0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1"/>
    <m/>
    <m/>
    <s v="3-5 Years"/>
    <x v="0"/>
  </r>
  <r>
    <n v="36"/>
    <x v="1"/>
    <x v="0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1"/>
    <m/>
    <m/>
    <s v="6-10 Years"/>
    <x v="0"/>
  </r>
  <r>
    <n v="36"/>
    <x v="1"/>
    <x v="0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1"/>
    <m/>
    <m/>
    <s v="3-5 Years"/>
    <x v="0"/>
  </r>
  <r>
    <n v="47"/>
    <x v="1"/>
    <x v="0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1"/>
    <m/>
    <m/>
    <s v="6-10 Years"/>
    <x v="0"/>
  </r>
  <r>
    <n v="25"/>
    <x v="0"/>
    <x v="0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m/>
    <m/>
    <s v="3-5 Years"/>
    <x v="0"/>
  </r>
  <r>
    <n v="37"/>
    <x v="1"/>
    <x v="2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1"/>
    <m/>
    <m/>
    <s v="6-10 Years"/>
    <x v="0"/>
  </r>
  <r>
    <n v="56"/>
    <x v="1"/>
    <x v="0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1"/>
    <m/>
    <m/>
    <s v="3-5 Years"/>
    <x v="0"/>
  </r>
  <r>
    <n v="47"/>
    <x v="1"/>
    <x v="0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1"/>
    <m/>
    <m/>
    <s v="16-20 Years"/>
    <x v="1"/>
  </r>
  <r>
    <n v="24"/>
    <x v="1"/>
    <x v="0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1"/>
    <m/>
    <m/>
    <s v="3-5 Years"/>
    <x v="0"/>
  </r>
  <r>
    <n v="32"/>
    <x v="1"/>
    <x v="0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1"/>
    <m/>
    <m/>
    <s v="3-5 Years"/>
    <x v="0"/>
  </r>
  <r>
    <n v="34"/>
    <x v="1"/>
    <x v="0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1"/>
    <m/>
    <m/>
    <s v="3-5 Years"/>
    <x v="0"/>
  </r>
  <r>
    <n v="41"/>
    <x v="1"/>
    <x v="0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1"/>
    <m/>
    <m/>
    <s v="3-5 Years"/>
    <x v="0"/>
  </r>
  <r>
    <n v="40"/>
    <x v="1"/>
    <x v="2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1"/>
    <m/>
    <m/>
    <s v="6-10 Years"/>
    <x v="0"/>
  </r>
  <r>
    <n v="31"/>
    <x v="1"/>
    <x v="0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1"/>
    <m/>
    <m/>
    <s v="11-15 Years"/>
    <x v="2"/>
  </r>
  <r>
    <n v="46"/>
    <x v="0"/>
    <x v="0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m/>
    <m/>
    <s v="6-10 Years"/>
    <x v="1"/>
  </r>
  <r>
    <n v="39"/>
    <x v="0"/>
    <x v="2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m/>
    <m/>
    <s v="0-2 Years"/>
    <x v="0"/>
  </r>
  <r>
    <n v="31"/>
    <x v="0"/>
    <x v="1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m/>
    <m/>
    <s v="6-10 Years"/>
    <x v="1"/>
  </r>
  <r>
    <n v="45"/>
    <x v="1"/>
    <x v="0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1"/>
    <m/>
    <m/>
    <s v="6-10 Years"/>
    <x v="0"/>
  </r>
  <r>
    <n v="31"/>
    <x v="1"/>
    <x v="0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1"/>
    <m/>
    <m/>
    <s v="3-5 Years"/>
    <x v="0"/>
  </r>
  <r>
    <n v="31"/>
    <x v="0"/>
    <x v="1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m/>
    <m/>
    <s v="0-2 Years"/>
    <x v="0"/>
  </r>
  <r>
    <n v="45"/>
    <x v="1"/>
    <x v="0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1"/>
    <m/>
    <m/>
    <s v="3-5 Years"/>
    <x v="0"/>
  </r>
  <r>
    <n v="48"/>
    <x v="1"/>
    <x v="0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1"/>
    <m/>
    <m/>
    <s v="0-2 Years"/>
    <x v="0"/>
  </r>
  <r>
    <n v="34"/>
    <x v="0"/>
    <x v="0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m/>
    <m/>
    <s v="0-2 Years"/>
    <x v="0"/>
  </r>
  <r>
    <n v="40"/>
    <x v="1"/>
    <x v="2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1"/>
    <m/>
    <m/>
    <s v="6-10 Years"/>
    <x v="1"/>
  </r>
  <r>
    <n v="28"/>
    <x v="1"/>
    <x v="0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1"/>
    <m/>
    <m/>
    <s v="3-5 Years"/>
    <x v="0"/>
  </r>
  <r>
    <n v="44"/>
    <x v="1"/>
    <x v="2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1"/>
    <m/>
    <m/>
    <s v="3-5 Years"/>
    <x v="0"/>
  </r>
  <r>
    <n v="53"/>
    <x v="1"/>
    <x v="0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1"/>
    <m/>
    <m/>
    <s v="6-10 Years"/>
    <x v="2"/>
  </r>
  <r>
    <n v="49"/>
    <x v="1"/>
    <x v="0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1"/>
    <m/>
    <m/>
    <s v="3-5 Years"/>
    <x v="0"/>
  </r>
  <r>
    <n v="40"/>
    <x v="1"/>
    <x v="0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1"/>
    <m/>
    <m/>
    <s v="3-5 Years"/>
    <x v="0"/>
  </r>
  <r>
    <n v="44"/>
    <x v="1"/>
    <x v="0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1"/>
    <m/>
    <m/>
    <s v="3-5 Years"/>
    <x v="0"/>
  </r>
  <r>
    <n v="33"/>
    <x v="1"/>
    <x v="1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1"/>
    <m/>
    <m/>
    <s v="3-5 Years"/>
    <x v="0"/>
  </r>
  <r>
    <n v="34"/>
    <x v="1"/>
    <x v="0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1"/>
    <m/>
    <m/>
    <s v="11-15 Years"/>
    <x v="1"/>
  </r>
  <r>
    <n v="30"/>
    <x v="1"/>
    <x v="0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1"/>
    <m/>
    <m/>
    <s v="0-2 Years"/>
    <x v="0"/>
  </r>
  <r>
    <n v="42"/>
    <x v="1"/>
    <x v="1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1"/>
    <m/>
    <m/>
    <s v="11-15 Years"/>
    <x v="1"/>
  </r>
  <r>
    <n v="44"/>
    <x v="1"/>
    <x v="1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1"/>
    <m/>
    <m/>
    <s v="0-2 Years"/>
    <x v="0"/>
  </r>
  <r>
    <n v="30"/>
    <x v="1"/>
    <x v="2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1"/>
    <m/>
    <m/>
    <s v="0-2 Years"/>
    <x v="0"/>
  </r>
  <r>
    <n v="57"/>
    <x v="1"/>
    <x v="0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1"/>
    <m/>
    <m/>
    <s v="11-15 Years"/>
    <x v="0"/>
  </r>
  <r>
    <n v="49"/>
    <x v="1"/>
    <x v="0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1"/>
    <m/>
    <m/>
    <s v="6-10 Years"/>
    <x v="0"/>
  </r>
  <r>
    <n v="34"/>
    <x v="1"/>
    <x v="1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1"/>
    <m/>
    <m/>
    <s v="11-15 Years"/>
    <x v="2"/>
  </r>
  <r>
    <n v="28"/>
    <x v="0"/>
    <x v="1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m/>
    <m/>
    <s v="3-5 Years"/>
    <x v="0"/>
  </r>
  <r>
    <n v="29"/>
    <x v="0"/>
    <x v="1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m/>
    <m/>
    <s v="3-5 Years"/>
    <x v="0"/>
  </r>
  <r>
    <n v="34"/>
    <x v="0"/>
    <x v="0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m/>
    <m/>
    <s v="11-15 Years"/>
    <x v="2"/>
  </r>
  <r>
    <n v="35"/>
    <x v="1"/>
    <x v="0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1"/>
    <m/>
    <m/>
    <s v="0-2 Years"/>
    <x v="0"/>
  </r>
  <r>
    <n v="24"/>
    <x v="0"/>
    <x v="1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m/>
    <m/>
    <s v="0-2 Years"/>
    <x v="0"/>
  </r>
  <r>
    <n v="24"/>
    <x v="1"/>
    <x v="2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1"/>
    <m/>
    <m/>
    <s v="0-2 Years"/>
    <x v="0"/>
  </r>
  <r>
    <n v="44"/>
    <x v="1"/>
    <x v="1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1"/>
    <m/>
    <m/>
    <s v="0-2 Years"/>
    <x v="0"/>
  </r>
  <r>
    <n v="29"/>
    <x v="1"/>
    <x v="0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1"/>
    <m/>
    <m/>
    <s v="6-10 Years"/>
    <x v="0"/>
  </r>
  <r>
    <n v="30"/>
    <x v="1"/>
    <x v="0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1"/>
    <m/>
    <m/>
    <s v="3-5 Years"/>
    <x v="0"/>
  </r>
  <r>
    <n v="55"/>
    <x v="1"/>
    <x v="0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1"/>
    <m/>
    <m/>
    <s v="3-5 Years"/>
    <x v="0"/>
  </r>
  <r>
    <n v="33"/>
    <x v="1"/>
    <x v="0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1"/>
    <m/>
    <m/>
    <s v="3-5 Years"/>
    <x v="0"/>
  </r>
  <r>
    <n v="47"/>
    <x v="1"/>
    <x v="0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1"/>
    <m/>
    <m/>
    <s v="3-5 Years"/>
    <x v="0"/>
  </r>
  <r>
    <n v="28"/>
    <x v="0"/>
    <x v="1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m/>
    <m/>
    <s v="0-2 Years"/>
    <x v="0"/>
  </r>
  <r>
    <n v="28"/>
    <x v="1"/>
    <x v="0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1"/>
    <m/>
    <m/>
    <s v="0-2 Years"/>
    <x v="0"/>
  </r>
  <r>
    <n v="28"/>
    <x v="1"/>
    <x v="1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1"/>
    <m/>
    <m/>
    <s v="3-5 Years"/>
    <x v="0"/>
  </r>
  <r>
    <n v="49"/>
    <x v="1"/>
    <x v="0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1"/>
    <m/>
    <m/>
    <s v="3-5 Years"/>
    <x v="0"/>
  </r>
  <r>
    <n v="29"/>
    <x v="1"/>
    <x v="1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1"/>
    <m/>
    <m/>
    <s v="3-5 Years"/>
    <x v="0"/>
  </r>
  <r>
    <n v="28"/>
    <x v="1"/>
    <x v="0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1"/>
    <m/>
    <m/>
    <s v="6-10 Years"/>
    <x v="0"/>
  </r>
  <r>
    <n v="33"/>
    <x v="1"/>
    <x v="0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1"/>
    <m/>
    <m/>
    <s v="0-2 Years"/>
    <x v="0"/>
  </r>
  <r>
    <n v="32"/>
    <x v="1"/>
    <x v="0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1"/>
    <m/>
    <m/>
    <s v="3-5 Years"/>
    <x v="0"/>
  </r>
  <r>
    <n v="54"/>
    <x v="1"/>
    <x v="1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1"/>
    <m/>
    <m/>
    <s v="11-15 Years"/>
    <x v="0"/>
  </r>
  <r>
    <n v="29"/>
    <x v="0"/>
    <x v="0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m/>
    <m/>
    <s v="6-10 Years"/>
    <x v="0"/>
  </r>
  <r>
    <n v="44"/>
    <x v="1"/>
    <x v="0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1"/>
    <m/>
    <m/>
    <s v="16-20 Years"/>
    <x v="3"/>
  </r>
  <r>
    <n v="39"/>
    <x v="1"/>
    <x v="0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1"/>
    <m/>
    <m/>
    <s v="0-2 Years"/>
    <x v="0"/>
  </r>
  <r>
    <n v="46"/>
    <x v="1"/>
    <x v="0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1"/>
    <m/>
    <m/>
    <s v="11-15 Years"/>
    <x v="1"/>
  </r>
  <r>
    <n v="35"/>
    <x v="1"/>
    <x v="0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1"/>
    <m/>
    <m/>
    <s v="11-15 Years"/>
    <x v="1"/>
  </r>
  <r>
    <n v="23"/>
    <x v="1"/>
    <x v="0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1"/>
    <m/>
    <m/>
    <s v="3-5 Years"/>
    <x v="0"/>
  </r>
  <r>
    <n v="40"/>
    <x v="0"/>
    <x v="0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m/>
    <m/>
    <s v="3-5 Years"/>
    <x v="0"/>
  </r>
  <r>
    <n v="34"/>
    <x v="1"/>
    <x v="0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1"/>
    <m/>
    <m/>
    <s v="6-10 Years"/>
    <x v="2"/>
  </r>
  <r>
    <n v="31"/>
    <x v="0"/>
    <x v="1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m/>
    <m/>
    <s v="6-10 Years"/>
    <x v="2"/>
  </r>
  <r>
    <n v="50"/>
    <x v="1"/>
    <x v="1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1"/>
    <m/>
    <m/>
    <s v="21+ Years"/>
    <x v="3"/>
  </r>
  <r>
    <n v="34"/>
    <x v="1"/>
    <x v="0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1"/>
    <m/>
    <m/>
    <s v="11-15 Years"/>
    <x v="1"/>
  </r>
  <r>
    <n v="42"/>
    <x v="1"/>
    <x v="0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1"/>
    <m/>
    <m/>
    <s v="0-2 Years"/>
    <x v="0"/>
  </r>
  <r>
    <n v="37"/>
    <x v="1"/>
    <x v="0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1"/>
    <m/>
    <m/>
    <s v="6-10 Years"/>
    <x v="1"/>
  </r>
  <r>
    <n v="29"/>
    <x v="1"/>
    <x v="0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1"/>
    <m/>
    <m/>
    <s v="6-10 Years"/>
    <x v="0"/>
  </r>
  <r>
    <n v="33"/>
    <x v="1"/>
    <x v="0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1"/>
    <m/>
    <m/>
    <s v="3-5 Years"/>
    <x v="0"/>
  </r>
  <r>
    <n v="45"/>
    <x v="1"/>
    <x v="0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1"/>
    <m/>
    <m/>
    <s v="3-5 Years"/>
    <x v="0"/>
  </r>
  <r>
    <n v="42"/>
    <x v="1"/>
    <x v="1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1"/>
    <m/>
    <m/>
    <s v="16-20 Years"/>
    <x v="3"/>
  </r>
  <r>
    <n v="40"/>
    <x v="1"/>
    <x v="0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1"/>
    <m/>
    <m/>
    <s v="6-10 Years"/>
    <x v="2"/>
  </r>
  <r>
    <n v="33"/>
    <x v="1"/>
    <x v="0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1"/>
    <m/>
    <m/>
    <s v="11-15 Years"/>
    <x v="1"/>
  </r>
  <r>
    <n v="40"/>
    <x v="1"/>
    <x v="0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1"/>
    <m/>
    <m/>
    <s v="21+ Years"/>
    <x v="2"/>
  </r>
  <r>
    <n v="24"/>
    <x v="1"/>
    <x v="0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1"/>
    <m/>
    <m/>
    <s v="0-2 Years"/>
    <x v="0"/>
  </r>
  <r>
    <n v="40"/>
    <x v="1"/>
    <x v="2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1"/>
    <m/>
    <m/>
    <s v="0-2 Years"/>
    <x v="0"/>
  </r>
  <r>
    <n v="45"/>
    <x v="1"/>
    <x v="0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1"/>
    <m/>
    <m/>
    <s v="6-10 Years"/>
    <x v="2"/>
  </r>
  <r>
    <n v="35"/>
    <x v="1"/>
    <x v="0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1"/>
    <m/>
    <m/>
    <s v="3-5 Years"/>
    <x v="1"/>
  </r>
  <r>
    <n v="32"/>
    <x v="1"/>
    <x v="0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1"/>
    <m/>
    <m/>
    <s v="6-10 Years"/>
    <x v="0"/>
  </r>
  <r>
    <n v="36"/>
    <x v="1"/>
    <x v="0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1"/>
    <m/>
    <m/>
    <s v="3-5 Years"/>
    <x v="0"/>
  </r>
  <r>
    <n v="48"/>
    <x v="1"/>
    <x v="0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1"/>
    <m/>
    <m/>
    <s v="6-10 Years"/>
    <x v="2"/>
  </r>
  <r>
    <n v="29"/>
    <x v="1"/>
    <x v="0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1"/>
    <m/>
    <m/>
    <s v="0-2 Years"/>
    <x v="0"/>
  </r>
  <r>
    <n v="33"/>
    <x v="1"/>
    <x v="0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1"/>
    <m/>
    <m/>
    <s v="0-2 Years"/>
    <x v="0"/>
  </r>
  <r>
    <n v="30"/>
    <x v="0"/>
    <x v="0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m/>
    <m/>
    <s v="6-10 Years"/>
    <x v="2"/>
  </r>
  <r>
    <n v="38"/>
    <x v="1"/>
    <x v="1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1"/>
    <m/>
    <m/>
    <s v="6-10 Years"/>
    <x v="0"/>
  </r>
  <r>
    <n v="35"/>
    <x v="1"/>
    <x v="0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1"/>
    <m/>
    <m/>
    <s v="3-5 Years"/>
    <x v="0"/>
  </r>
  <r>
    <n v="30"/>
    <x v="1"/>
    <x v="0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1"/>
    <m/>
    <m/>
    <s v="3-5 Years"/>
    <x v="0"/>
  </r>
  <r>
    <n v="35"/>
    <x v="0"/>
    <x v="0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m/>
    <m/>
    <s v="0-2 Years"/>
    <x v="0"/>
  </r>
  <r>
    <n v="53"/>
    <x v="0"/>
    <x v="0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m/>
    <m/>
    <s v="21+ Years"/>
    <x v="0"/>
  </r>
  <r>
    <n v="38"/>
    <x v="0"/>
    <x v="0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m/>
    <m/>
    <s v="3-5 Years"/>
    <x v="0"/>
  </r>
  <r>
    <n v="32"/>
    <x v="1"/>
    <x v="2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1"/>
    <m/>
    <m/>
    <s v="6-10 Years"/>
    <x v="0"/>
  </r>
  <r>
    <n v="48"/>
    <x v="1"/>
    <x v="0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1"/>
    <m/>
    <m/>
    <s v="6-10 Years"/>
    <x v="2"/>
  </r>
  <r>
    <n v="34"/>
    <x v="1"/>
    <x v="0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1"/>
    <m/>
    <m/>
    <s v="0-2 Years"/>
    <x v="0"/>
  </r>
  <r>
    <n v="55"/>
    <x v="1"/>
    <x v="0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1"/>
    <m/>
    <m/>
    <s v="21+ Years"/>
    <x v="0"/>
  </r>
  <r>
    <n v="34"/>
    <x v="1"/>
    <x v="0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1"/>
    <m/>
    <m/>
    <s v="0-2 Years"/>
    <x v="0"/>
  </r>
  <r>
    <n v="26"/>
    <x v="1"/>
    <x v="0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1"/>
    <m/>
    <m/>
    <s v="0-2 Years"/>
    <x v="0"/>
  </r>
  <r>
    <n v="38"/>
    <x v="1"/>
    <x v="0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1"/>
    <m/>
    <m/>
    <s v="6-10 Years"/>
    <x v="2"/>
  </r>
  <r>
    <n v="38"/>
    <x v="1"/>
    <x v="0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1"/>
    <m/>
    <m/>
    <s v="3-5 Years"/>
    <x v="0"/>
  </r>
  <r>
    <n v="36"/>
    <x v="1"/>
    <x v="0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1"/>
    <m/>
    <m/>
    <s v="0-2 Years"/>
    <x v="0"/>
  </r>
  <r>
    <n v="29"/>
    <x v="1"/>
    <x v="0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1"/>
    <m/>
    <m/>
    <s v="6-10 Years"/>
    <x v="0"/>
  </r>
  <r>
    <n v="35"/>
    <x v="1"/>
    <x v="0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1"/>
    <m/>
    <m/>
    <s v="3-5 Years"/>
    <x v="0"/>
  </r>
  <r>
    <n v="39"/>
    <x v="1"/>
    <x v="0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1"/>
    <m/>
    <m/>
    <s v="6-10 Years"/>
    <x v="2"/>
  </r>
  <r>
    <n v="29"/>
    <x v="1"/>
    <x v="1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1"/>
    <m/>
    <m/>
    <s v="6-10 Years"/>
    <x v="0"/>
  </r>
  <r>
    <n v="50"/>
    <x v="1"/>
    <x v="0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1"/>
    <m/>
    <m/>
    <s v="0-2 Years"/>
    <x v="0"/>
  </r>
  <r>
    <n v="23"/>
    <x v="1"/>
    <x v="0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1"/>
    <m/>
    <m/>
    <s v="0-2 Years"/>
    <x v="0"/>
  </r>
  <r>
    <n v="36"/>
    <x v="1"/>
    <x v="1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1"/>
    <m/>
    <m/>
    <s v="3-5 Years"/>
    <x v="0"/>
  </r>
  <r>
    <n v="42"/>
    <x v="1"/>
    <x v="0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1"/>
    <m/>
    <m/>
    <s v="0-2 Years"/>
    <x v="0"/>
  </r>
  <r>
    <n v="35"/>
    <x v="1"/>
    <x v="0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1"/>
    <m/>
    <m/>
    <s v="6-10 Years"/>
    <x v="2"/>
  </r>
  <r>
    <n v="34"/>
    <x v="1"/>
    <x v="1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1"/>
    <m/>
    <m/>
    <s v="6-10 Years"/>
    <x v="2"/>
  </r>
  <r>
    <n v="40"/>
    <x v="1"/>
    <x v="0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1"/>
    <m/>
    <m/>
    <s v="3-5 Years"/>
    <x v="0"/>
  </r>
  <r>
    <n v="43"/>
    <x v="1"/>
    <x v="0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1"/>
    <m/>
    <m/>
    <s v="6-10 Years"/>
    <x v="0"/>
  </r>
  <r>
    <n v="35"/>
    <x v="1"/>
    <x v="0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1"/>
    <m/>
    <m/>
    <s v="0-2 Years"/>
    <x v="0"/>
  </r>
  <r>
    <n v="46"/>
    <x v="1"/>
    <x v="0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1"/>
    <m/>
    <m/>
    <s v="21+ Years"/>
    <x v="0"/>
  </r>
  <r>
    <n v="28"/>
    <x v="0"/>
    <x v="0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m/>
    <m/>
    <s v="0-2 Years"/>
    <x v="0"/>
  </r>
  <r>
    <n v="22"/>
    <x v="1"/>
    <x v="2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1"/>
    <m/>
    <m/>
    <s v="3-5 Years"/>
    <x v="0"/>
  </r>
  <r>
    <n v="50"/>
    <x v="1"/>
    <x v="1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1"/>
    <m/>
    <m/>
    <s v="21+ Years"/>
    <x v="3"/>
  </r>
  <r>
    <n v="32"/>
    <x v="1"/>
    <x v="0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1"/>
    <m/>
    <m/>
    <s v="3-5 Years"/>
    <x v="0"/>
  </r>
  <r>
    <n v="44"/>
    <x v="1"/>
    <x v="0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1"/>
    <m/>
    <m/>
    <s v="21+ Years"/>
    <x v="0"/>
  </r>
  <r>
    <n v="30"/>
    <x v="1"/>
    <x v="0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1"/>
    <m/>
    <m/>
    <s v="6-10 Years"/>
    <x v="0"/>
  </r>
  <r>
    <n v="45"/>
    <x v="1"/>
    <x v="0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1"/>
    <m/>
    <m/>
    <s v="6-10 Years"/>
    <x v="0"/>
  </r>
  <r>
    <n v="45"/>
    <x v="1"/>
    <x v="2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1"/>
    <m/>
    <m/>
    <s v="6-10 Years"/>
    <x v="1"/>
  </r>
  <r>
    <n v="31"/>
    <x v="1"/>
    <x v="1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1"/>
    <m/>
    <m/>
    <s v="3-5 Years"/>
    <x v="0"/>
  </r>
  <r>
    <n v="36"/>
    <x v="1"/>
    <x v="0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1"/>
    <m/>
    <m/>
    <s v="3-5 Years"/>
    <x v="0"/>
  </r>
  <r>
    <n v="34"/>
    <x v="1"/>
    <x v="1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1"/>
    <m/>
    <m/>
    <s v="6-10 Years"/>
    <x v="2"/>
  </r>
  <r>
    <n v="49"/>
    <x v="1"/>
    <x v="0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1"/>
    <m/>
    <m/>
    <s v="6-10 Years"/>
    <x v="0"/>
  </r>
  <r>
    <n v="39"/>
    <x v="1"/>
    <x v="0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1"/>
    <m/>
    <m/>
    <s v="6-10 Years"/>
    <x v="2"/>
  </r>
  <r>
    <n v="27"/>
    <x v="1"/>
    <x v="0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1"/>
    <m/>
    <m/>
    <s v="6-10 Years"/>
    <x v="0"/>
  </r>
  <r>
    <n v="35"/>
    <x v="1"/>
    <x v="0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1"/>
    <m/>
    <m/>
    <s v="16-20 Years"/>
    <x v="0"/>
  </r>
  <r>
    <n v="28"/>
    <x v="1"/>
    <x v="0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1"/>
    <m/>
    <m/>
    <s v="3-5 Years"/>
    <x v="0"/>
  </r>
  <r>
    <n v="21"/>
    <x v="1"/>
    <x v="0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1"/>
    <m/>
    <m/>
    <s v="0-2 Years"/>
    <x v="0"/>
  </r>
  <r>
    <n v="18"/>
    <x v="0"/>
    <x v="1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m/>
    <m/>
    <s v="0-2 Years"/>
    <x v="0"/>
  </r>
  <r>
    <n v="47"/>
    <x v="1"/>
    <x v="0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1"/>
    <m/>
    <m/>
    <s v="3-5 Years"/>
    <x v="0"/>
  </r>
  <r>
    <n v="39"/>
    <x v="1"/>
    <x v="0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1"/>
    <m/>
    <m/>
    <s v="6-10 Years"/>
    <x v="0"/>
  </r>
  <r>
    <n v="40"/>
    <x v="1"/>
    <x v="0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1"/>
    <m/>
    <m/>
    <s v="16-20 Years"/>
    <x v="3"/>
  </r>
  <r>
    <n v="35"/>
    <x v="1"/>
    <x v="2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1"/>
    <m/>
    <m/>
    <s v="11-15 Years"/>
    <x v="0"/>
  </r>
  <r>
    <n v="37"/>
    <x v="1"/>
    <x v="0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1"/>
    <m/>
    <m/>
    <s v="3-5 Years"/>
    <x v="0"/>
  </r>
  <r>
    <n v="39"/>
    <x v="1"/>
    <x v="1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1"/>
    <m/>
    <m/>
    <s v="6-10 Years"/>
    <x v="1"/>
  </r>
  <r>
    <n v="45"/>
    <x v="1"/>
    <x v="0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1"/>
    <m/>
    <m/>
    <s v="6-10 Years"/>
    <x v="1"/>
  </r>
  <r>
    <n v="38"/>
    <x v="1"/>
    <x v="0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1"/>
    <m/>
    <m/>
    <s v="3-5 Years"/>
    <x v="0"/>
  </r>
  <r>
    <n v="35"/>
    <x v="0"/>
    <x v="0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m/>
    <m/>
    <s v="11-15 Years"/>
    <x v="2"/>
  </r>
  <r>
    <n v="37"/>
    <x v="1"/>
    <x v="0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1"/>
    <m/>
    <m/>
    <s v="6-10 Years"/>
    <x v="2"/>
  </r>
  <r>
    <n v="40"/>
    <x v="1"/>
    <x v="0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1"/>
    <m/>
    <m/>
    <s v="3-5 Years"/>
    <x v="1"/>
  </r>
  <r>
    <n v="44"/>
    <x v="1"/>
    <x v="1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1"/>
    <m/>
    <m/>
    <s v="6-10 Years"/>
    <x v="0"/>
  </r>
  <r>
    <n v="48"/>
    <x v="1"/>
    <x v="1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1"/>
    <m/>
    <m/>
    <s v="0-2 Years"/>
    <x v="0"/>
  </r>
  <r>
    <n v="35"/>
    <x v="0"/>
    <x v="0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m/>
    <m/>
    <s v="0-2 Years"/>
    <x v="0"/>
  </r>
  <r>
    <n v="24"/>
    <x v="1"/>
    <x v="1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1"/>
    <m/>
    <m/>
    <s v="6-10 Years"/>
    <x v="0"/>
  </r>
  <r>
    <n v="27"/>
    <x v="1"/>
    <x v="0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1"/>
    <m/>
    <m/>
    <s v="3-5 Years"/>
    <x v="0"/>
  </r>
  <r>
    <n v="27"/>
    <x v="1"/>
    <x v="1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1"/>
    <m/>
    <m/>
    <s v="3-5 Years"/>
    <x v="0"/>
  </r>
  <r>
    <n v="40"/>
    <x v="0"/>
    <x v="0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m/>
    <m/>
    <s v="3-5 Years"/>
    <x v="0"/>
  </r>
  <r>
    <n v="29"/>
    <x v="1"/>
    <x v="0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1"/>
    <m/>
    <m/>
    <s v="3-5 Years"/>
    <x v="0"/>
  </r>
  <r>
    <n v="36"/>
    <x v="1"/>
    <x v="0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1"/>
    <m/>
    <m/>
    <s v="3-5 Years"/>
    <x v="0"/>
  </r>
  <r>
    <n v="25"/>
    <x v="1"/>
    <x v="1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1"/>
    <m/>
    <m/>
    <s v="6-10 Years"/>
    <x v="0"/>
  </r>
  <r>
    <n v="39"/>
    <x v="1"/>
    <x v="0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1"/>
    <m/>
    <m/>
    <s v="3-5 Years"/>
    <x v="0"/>
  </r>
  <r>
    <n v="49"/>
    <x v="1"/>
    <x v="0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1"/>
    <m/>
    <m/>
    <s v="3-5 Years"/>
    <x v="0"/>
  </r>
  <r>
    <n v="50"/>
    <x v="1"/>
    <x v="0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1"/>
    <m/>
    <m/>
    <s v="11-15 Years"/>
    <x v="0"/>
  </r>
  <r>
    <n v="20"/>
    <x v="1"/>
    <x v="0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1"/>
    <m/>
    <m/>
    <s v="0-2 Years"/>
    <x v="0"/>
  </r>
  <r>
    <n v="34"/>
    <x v="1"/>
    <x v="0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1"/>
    <m/>
    <m/>
    <s v="11-15 Years"/>
    <x v="2"/>
  </r>
  <r>
    <n v="36"/>
    <x v="1"/>
    <x v="0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1"/>
    <m/>
    <m/>
    <s v="3-5 Years"/>
    <x v="0"/>
  </r>
  <r>
    <n v="49"/>
    <x v="1"/>
    <x v="0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1"/>
    <m/>
    <m/>
    <s v="11-15 Years"/>
    <x v="0"/>
  </r>
  <r>
    <n v="36"/>
    <x v="1"/>
    <x v="2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1"/>
    <m/>
    <m/>
    <s v="3-5 Years"/>
    <x v="0"/>
  </r>
  <r>
    <n v="36"/>
    <x v="1"/>
    <x v="0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1"/>
    <m/>
    <m/>
    <s v="3-5 Years"/>
    <x v="0"/>
  </r>
  <r>
    <n v="54"/>
    <x v="1"/>
    <x v="0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1"/>
    <m/>
    <m/>
    <s v="6-10 Years"/>
    <x v="1"/>
  </r>
  <r>
    <n v="43"/>
    <x v="1"/>
    <x v="0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1"/>
    <m/>
    <m/>
    <s v="11-15 Years"/>
    <x v="2"/>
  </r>
  <r>
    <n v="35"/>
    <x v="0"/>
    <x v="1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m/>
    <m/>
    <s v="11-15 Years"/>
    <x v="2"/>
  </r>
  <r>
    <n v="38"/>
    <x v="1"/>
    <x v="1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1"/>
    <m/>
    <m/>
    <s v="11-15 Years"/>
    <x v="0"/>
  </r>
  <r>
    <n v="29"/>
    <x v="1"/>
    <x v="0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1"/>
    <m/>
    <m/>
    <s v="6-10 Years"/>
    <x v="0"/>
  </r>
  <r>
    <n v="33"/>
    <x v="1"/>
    <x v="0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1"/>
    <m/>
    <m/>
    <s v="6-10 Years"/>
    <x v="0"/>
  </r>
  <r>
    <n v="32"/>
    <x v="1"/>
    <x v="0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1"/>
    <m/>
    <m/>
    <s v="6-10 Years"/>
    <x v="0"/>
  </r>
  <r>
    <n v="31"/>
    <x v="1"/>
    <x v="0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1"/>
    <m/>
    <m/>
    <s v="6-10 Years"/>
    <x v="0"/>
  </r>
  <r>
    <n v="49"/>
    <x v="1"/>
    <x v="0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1"/>
    <m/>
    <m/>
    <s v="0-2 Years"/>
    <x v="0"/>
  </r>
  <r>
    <n v="38"/>
    <x v="1"/>
    <x v="1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1"/>
    <m/>
    <m/>
    <s v="3-5 Years"/>
    <x v="1"/>
  </r>
  <r>
    <n v="47"/>
    <x v="1"/>
    <x v="0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1"/>
    <m/>
    <m/>
    <s v="3-5 Years"/>
    <x v="0"/>
  </r>
  <r>
    <n v="49"/>
    <x v="1"/>
    <x v="0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1"/>
    <m/>
    <m/>
    <s v="6-10 Years"/>
    <x v="0"/>
  </r>
  <r>
    <n v="41"/>
    <x v="1"/>
    <x v="0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1"/>
    <m/>
    <m/>
    <s v="0-2 Years"/>
    <x v="0"/>
  </r>
  <r>
    <n v="20"/>
    <x v="1"/>
    <x v="0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1"/>
    <m/>
    <m/>
    <s v="0-2 Years"/>
    <x v="0"/>
  </r>
  <r>
    <n v="33"/>
    <x v="1"/>
    <x v="2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1"/>
    <m/>
    <m/>
    <s v="6-10 Years"/>
    <x v="0"/>
  </r>
  <r>
    <n v="36"/>
    <x v="1"/>
    <x v="0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1"/>
    <m/>
    <m/>
    <s v="3-5 Years"/>
    <x v="0"/>
  </r>
  <r>
    <n v="44"/>
    <x v="1"/>
    <x v="0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1"/>
    <m/>
    <m/>
    <s v="0-2 Years"/>
    <x v="0"/>
  </r>
  <r>
    <n v="23"/>
    <x v="0"/>
    <x v="0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m/>
    <m/>
    <s v="3-5 Years"/>
    <x v="0"/>
  </r>
  <r>
    <n v="38"/>
    <x v="1"/>
    <x v="0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1"/>
    <m/>
    <m/>
    <s v="0-2 Years"/>
    <x v="0"/>
  </r>
  <r>
    <n v="53"/>
    <x v="1"/>
    <x v="0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1"/>
    <m/>
    <m/>
    <s v="3-5 Years"/>
    <x v="0"/>
  </r>
  <r>
    <n v="48"/>
    <x v="0"/>
    <x v="1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m/>
    <m/>
    <s v="6-10 Years"/>
    <x v="2"/>
  </r>
  <r>
    <n v="32"/>
    <x v="0"/>
    <x v="0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m/>
    <m/>
    <s v="0-2 Years"/>
    <x v="0"/>
  </r>
  <r>
    <n v="26"/>
    <x v="1"/>
    <x v="2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1"/>
    <m/>
    <m/>
    <s v="6-10 Years"/>
    <x v="1"/>
  </r>
  <r>
    <n v="55"/>
    <x v="1"/>
    <x v="0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1"/>
    <m/>
    <m/>
    <s v="3-5 Years"/>
    <x v="0"/>
  </r>
  <r>
    <n v="34"/>
    <x v="1"/>
    <x v="0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1"/>
    <m/>
    <m/>
    <s v="11-15 Years"/>
    <x v="1"/>
  </r>
  <r>
    <n v="60"/>
    <x v="1"/>
    <x v="0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1"/>
    <m/>
    <m/>
    <s v="0-2 Years"/>
    <x v="0"/>
  </r>
  <r>
    <n v="33"/>
    <x v="1"/>
    <x v="0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1"/>
    <m/>
    <m/>
    <s v="11-15 Years"/>
    <x v="0"/>
  </r>
  <r>
    <n v="37"/>
    <x v="1"/>
    <x v="1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1"/>
    <m/>
    <m/>
    <s v="6-10 Years"/>
    <x v="0"/>
  </r>
  <r>
    <n v="34"/>
    <x v="1"/>
    <x v="0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1"/>
    <m/>
    <m/>
    <s v="6-10 Years"/>
    <x v="2"/>
  </r>
  <r>
    <n v="23"/>
    <x v="0"/>
    <x v="0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m/>
    <m/>
    <s v="3-5 Years"/>
    <x v="0"/>
  </r>
  <r>
    <n v="44"/>
    <x v="1"/>
    <x v="0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1"/>
    <m/>
    <m/>
    <s v="6-10 Years"/>
    <x v="2"/>
  </r>
  <r>
    <n v="35"/>
    <x v="1"/>
    <x v="1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1"/>
    <m/>
    <m/>
    <s v="3-5 Years"/>
    <x v="0"/>
  </r>
  <r>
    <n v="43"/>
    <x v="1"/>
    <x v="0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1"/>
    <m/>
    <m/>
    <s v="6-10 Years"/>
    <x v="2"/>
  </r>
  <r>
    <n v="24"/>
    <x v="1"/>
    <x v="0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1"/>
    <m/>
    <m/>
    <s v="3-5 Years"/>
    <x v="0"/>
  </r>
  <r>
    <n v="41"/>
    <x v="1"/>
    <x v="0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1"/>
    <m/>
    <m/>
    <s v="6-10 Years"/>
    <x v="2"/>
  </r>
  <r>
    <n v="29"/>
    <x v="1"/>
    <x v="0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1"/>
    <m/>
    <m/>
    <s v="3-5 Years"/>
    <x v="0"/>
  </r>
  <r>
    <n v="36"/>
    <x v="1"/>
    <x v="0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1"/>
    <m/>
    <m/>
    <s v="11-15 Years"/>
    <x v="2"/>
  </r>
  <r>
    <n v="45"/>
    <x v="1"/>
    <x v="2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1"/>
    <m/>
    <m/>
    <s v="21+ Years"/>
    <x v="3"/>
  </r>
  <r>
    <n v="24"/>
    <x v="0"/>
    <x v="0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m/>
    <m/>
    <s v="0-2 Years"/>
    <x v="0"/>
  </r>
  <r>
    <n v="47"/>
    <x v="0"/>
    <x v="1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m/>
    <m/>
    <s v="21+ Years"/>
    <x v="3"/>
  </r>
  <r>
    <n v="26"/>
    <x v="1"/>
    <x v="0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1"/>
    <m/>
    <m/>
    <s v="3-5 Years"/>
    <x v="0"/>
  </r>
  <r>
    <n v="45"/>
    <x v="1"/>
    <x v="0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1"/>
    <m/>
    <m/>
    <s v="21+ Years"/>
    <x v="2"/>
  </r>
  <r>
    <n v="32"/>
    <x v="1"/>
    <x v="1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1"/>
    <m/>
    <m/>
    <s v="3-5 Years"/>
    <x v="0"/>
  </r>
  <r>
    <n v="31"/>
    <x v="1"/>
    <x v="0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1"/>
    <m/>
    <m/>
    <s v="3-5 Years"/>
    <x v="0"/>
  </r>
  <r>
    <n v="41"/>
    <x v="1"/>
    <x v="2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1"/>
    <m/>
    <m/>
    <s v="3-5 Years"/>
    <x v="0"/>
  </r>
  <r>
    <n v="40"/>
    <x v="1"/>
    <x v="0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1"/>
    <m/>
    <m/>
    <s v="0-2 Years"/>
    <x v="0"/>
  </r>
  <r>
    <n v="24"/>
    <x v="1"/>
    <x v="0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1"/>
    <m/>
    <m/>
    <s v="6-10 Years"/>
    <x v="0"/>
  </r>
  <r>
    <n v="46"/>
    <x v="1"/>
    <x v="0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1"/>
    <m/>
    <m/>
    <s v="6-10 Years"/>
    <x v="0"/>
  </r>
  <r>
    <n v="35"/>
    <x v="1"/>
    <x v="0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1"/>
    <m/>
    <m/>
    <s v="6-10 Years"/>
    <x v="0"/>
  </r>
  <r>
    <n v="30"/>
    <x v="1"/>
    <x v="0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1"/>
    <m/>
    <m/>
    <s v="6-10 Years"/>
    <x v="0"/>
  </r>
  <r>
    <n v="47"/>
    <x v="1"/>
    <x v="2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1"/>
    <m/>
    <m/>
    <s v="0-2 Years"/>
    <x v="0"/>
  </r>
  <r>
    <n v="46"/>
    <x v="1"/>
    <x v="0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1"/>
    <m/>
    <m/>
    <s v="6-10 Years"/>
    <x v="0"/>
  </r>
  <r>
    <n v="36"/>
    <x v="0"/>
    <x v="0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m/>
    <m/>
    <s v="0-2 Years"/>
    <x v="0"/>
  </r>
  <r>
    <n v="32"/>
    <x v="0"/>
    <x v="0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m/>
    <m/>
    <s v="0-2 Years"/>
    <x v="0"/>
  </r>
  <r>
    <n v="23"/>
    <x v="1"/>
    <x v="0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1"/>
    <m/>
    <m/>
    <s v="3-5 Years"/>
    <x v="0"/>
  </r>
  <r>
    <n v="31"/>
    <x v="1"/>
    <x v="1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1"/>
    <m/>
    <m/>
    <s v="3-5 Years"/>
    <x v="0"/>
  </r>
  <r>
    <n v="39"/>
    <x v="1"/>
    <x v="2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1"/>
    <m/>
    <m/>
    <s v="6-10 Years"/>
    <x v="1"/>
  </r>
  <r>
    <n v="32"/>
    <x v="1"/>
    <x v="0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1"/>
    <m/>
    <m/>
    <s v="3-5 Years"/>
    <x v="0"/>
  </r>
  <r>
    <n v="40"/>
    <x v="1"/>
    <x v="0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1"/>
    <m/>
    <m/>
    <s v="21+ Years"/>
    <x v="3"/>
  </r>
  <r>
    <n v="45"/>
    <x v="1"/>
    <x v="0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1"/>
    <m/>
    <m/>
    <s v="3-5 Years"/>
    <x v="0"/>
  </r>
  <r>
    <n v="30"/>
    <x v="1"/>
    <x v="1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1"/>
    <m/>
    <m/>
    <s v="6-10 Years"/>
    <x v="0"/>
  </r>
  <r>
    <n v="24"/>
    <x v="1"/>
    <x v="1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1"/>
    <m/>
    <m/>
    <s v="0-2 Years"/>
    <x v="0"/>
  </r>
  <r>
    <n v="30"/>
    <x v="0"/>
    <x v="1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m/>
    <m/>
    <s v="3-5 Years"/>
    <x v="0"/>
  </r>
  <r>
    <n v="31"/>
    <x v="1"/>
    <x v="0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1"/>
    <m/>
    <m/>
    <s v="3-5 Years"/>
    <x v="0"/>
  </r>
  <r>
    <n v="27"/>
    <x v="1"/>
    <x v="0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1"/>
    <m/>
    <m/>
    <s v="6-10 Years"/>
    <x v="0"/>
  </r>
  <r>
    <n v="29"/>
    <x v="0"/>
    <x v="0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m/>
    <m/>
    <s v="0-2 Years"/>
    <x v="0"/>
  </r>
  <r>
    <n v="29"/>
    <x v="1"/>
    <x v="1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1"/>
    <m/>
    <m/>
    <s v="3-5 Years"/>
    <x v="0"/>
  </r>
  <r>
    <n v="30"/>
    <x v="1"/>
    <x v="0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1"/>
    <m/>
    <m/>
    <s v="6-10 Years"/>
    <x v="0"/>
  </r>
  <r>
    <n v="34"/>
    <x v="1"/>
    <x v="0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1"/>
    <m/>
    <m/>
    <s v="3-5 Years"/>
    <x v="0"/>
  </r>
  <r>
    <n v="33"/>
    <x v="1"/>
    <x v="2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1"/>
    <m/>
    <m/>
    <s v="11-15 Years"/>
    <x v="0"/>
  </r>
  <r>
    <n v="49"/>
    <x v="1"/>
    <x v="0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1"/>
    <m/>
    <m/>
    <s v="3-5 Years"/>
    <x v="0"/>
  </r>
  <r>
    <n v="33"/>
    <x v="0"/>
    <x v="0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m/>
    <m/>
    <s v="0-2 Years"/>
    <x v="0"/>
  </r>
  <r>
    <n v="38"/>
    <x v="1"/>
    <x v="1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1"/>
    <m/>
    <m/>
    <s v="6-10 Years"/>
    <x v="0"/>
  </r>
  <r>
    <n v="31"/>
    <x v="0"/>
    <x v="0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m/>
    <m/>
    <s v="0-2 Years"/>
    <x v="0"/>
  </r>
  <r>
    <n v="29"/>
    <x v="1"/>
    <x v="0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1"/>
    <m/>
    <m/>
    <s v="0-2 Years"/>
    <x v="0"/>
  </r>
  <r>
    <n v="30"/>
    <x v="1"/>
    <x v="0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1"/>
    <m/>
    <m/>
    <s v="6-10 Years"/>
    <x v="0"/>
  </r>
  <r>
    <n v="32"/>
    <x v="1"/>
    <x v="2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1"/>
    <m/>
    <m/>
    <s v="6-10 Years"/>
    <x v="0"/>
  </r>
  <r>
    <n v="38"/>
    <x v="1"/>
    <x v="0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1"/>
    <m/>
    <m/>
    <s v="0-2 Years"/>
    <x v="0"/>
  </r>
  <r>
    <n v="43"/>
    <x v="0"/>
    <x v="1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m/>
    <m/>
    <s v="0-2 Years"/>
    <x v="0"/>
  </r>
  <r>
    <n v="42"/>
    <x v="1"/>
    <x v="0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1"/>
    <m/>
    <m/>
    <s v="3-5 Years"/>
    <x v="0"/>
  </r>
  <r>
    <n v="55"/>
    <x v="1"/>
    <x v="0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1"/>
    <m/>
    <m/>
    <s v="0-2 Years"/>
    <x v="0"/>
  </r>
  <r>
    <n v="33"/>
    <x v="1"/>
    <x v="2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1"/>
    <m/>
    <m/>
    <s v="6-10 Years"/>
    <x v="0"/>
  </r>
  <r>
    <n v="41"/>
    <x v="1"/>
    <x v="0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1"/>
    <m/>
    <m/>
    <s v="3-5 Years"/>
    <x v="0"/>
  </r>
  <r>
    <n v="34"/>
    <x v="1"/>
    <x v="2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1"/>
    <m/>
    <m/>
    <s v="11-15 Years"/>
    <x v="0"/>
  </r>
  <r>
    <n v="53"/>
    <x v="1"/>
    <x v="2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1"/>
    <m/>
    <m/>
    <s v="3-5 Years"/>
    <x v="0"/>
  </r>
  <r>
    <n v="43"/>
    <x v="1"/>
    <x v="0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1"/>
    <m/>
    <m/>
    <s v="6-10 Years"/>
    <x v="0"/>
  </r>
  <r>
    <n v="34"/>
    <x v="1"/>
    <x v="0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1"/>
    <m/>
    <m/>
    <s v="0-2 Years"/>
    <x v="0"/>
  </r>
  <r>
    <n v="21"/>
    <x v="0"/>
    <x v="0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m/>
    <m/>
    <s v="0-2 Years"/>
    <x v="0"/>
  </r>
  <r>
    <n v="38"/>
    <x v="1"/>
    <x v="0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1"/>
    <m/>
    <m/>
    <s v="3-5 Years"/>
    <x v="0"/>
  </r>
  <r>
    <n v="22"/>
    <x v="0"/>
    <x v="0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m/>
    <m/>
    <s v="0-2 Years"/>
    <x v="0"/>
  </r>
  <r>
    <n v="31"/>
    <x v="1"/>
    <x v="0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1"/>
    <m/>
    <m/>
    <s v="11-15 Years"/>
    <x v="1"/>
  </r>
  <r>
    <n v="51"/>
    <x v="1"/>
    <x v="0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1"/>
    <m/>
    <m/>
    <s v="0-2 Years"/>
    <x v="0"/>
  </r>
  <r>
    <n v="37"/>
    <x v="1"/>
    <x v="0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1"/>
    <m/>
    <m/>
    <s v="3-5 Years"/>
    <x v="0"/>
  </r>
  <r>
    <n v="46"/>
    <x v="1"/>
    <x v="0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1"/>
    <m/>
    <m/>
    <s v="0-2 Years"/>
    <x v="0"/>
  </r>
  <r>
    <n v="36"/>
    <x v="1"/>
    <x v="0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1"/>
    <m/>
    <m/>
    <s v="11-15 Years"/>
    <x v="1"/>
  </r>
  <r>
    <n v="44"/>
    <x v="0"/>
    <x v="1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m/>
    <m/>
    <s v="3-5 Years"/>
    <x v="0"/>
  </r>
  <r>
    <n v="37"/>
    <x v="1"/>
    <x v="0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1"/>
    <m/>
    <m/>
    <s v="6-10 Years"/>
    <x v="1"/>
  </r>
  <r>
    <n v="35"/>
    <x v="0"/>
    <x v="0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m/>
    <m/>
    <s v="6-10 Years"/>
    <x v="2"/>
  </r>
  <r>
    <n v="33"/>
    <x v="1"/>
    <x v="0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1"/>
    <m/>
    <m/>
    <s v="6-10 Years"/>
    <x v="2"/>
  </r>
  <r>
    <n v="28"/>
    <x v="1"/>
    <x v="0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1"/>
    <m/>
    <m/>
    <s v="3-5 Years"/>
    <x v="0"/>
  </r>
  <r>
    <n v="39"/>
    <x v="1"/>
    <x v="0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1"/>
    <m/>
    <m/>
    <s v="3-5 Years"/>
    <x v="0"/>
  </r>
  <r>
    <n v="46"/>
    <x v="1"/>
    <x v="2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1"/>
    <m/>
    <m/>
    <s v="0-2 Years"/>
    <x v="0"/>
  </r>
  <r>
    <n v="40"/>
    <x v="1"/>
    <x v="0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1"/>
    <m/>
    <m/>
    <s v="3-5 Years"/>
    <x v="0"/>
  </r>
  <r>
    <n v="42"/>
    <x v="1"/>
    <x v="0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1"/>
    <m/>
    <m/>
    <s v="0-2 Years"/>
    <x v="0"/>
  </r>
  <r>
    <n v="35"/>
    <x v="1"/>
    <x v="2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1"/>
    <m/>
    <m/>
    <s v="6-10 Years"/>
    <x v="0"/>
  </r>
  <r>
    <n v="38"/>
    <x v="1"/>
    <x v="2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1"/>
    <m/>
    <m/>
    <s v="11-15 Years"/>
    <x v="1"/>
  </r>
  <r>
    <n v="34"/>
    <x v="0"/>
    <x v="1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m/>
    <m/>
    <s v="6-10 Years"/>
    <x v="0"/>
  </r>
  <r>
    <n v="37"/>
    <x v="0"/>
    <x v="0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m/>
    <m/>
    <s v="6-10 Years"/>
    <x v="0"/>
  </r>
  <r>
    <n v="39"/>
    <x v="1"/>
    <x v="1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1"/>
    <m/>
    <m/>
    <s v="0-2 Years"/>
    <x v="0"/>
  </r>
  <r>
    <n v="43"/>
    <x v="1"/>
    <x v="2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1"/>
    <m/>
    <m/>
    <s v="3-5 Years"/>
    <x v="0"/>
  </r>
  <r>
    <n v="41"/>
    <x v="1"/>
    <x v="0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1"/>
    <m/>
    <m/>
    <s v="3-5 Years"/>
    <x v="0"/>
  </r>
  <r>
    <n v="41"/>
    <x v="1"/>
    <x v="0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1"/>
    <m/>
    <m/>
    <s v="21+ Years"/>
    <x v="3"/>
  </r>
  <r>
    <n v="30"/>
    <x v="1"/>
    <x v="0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1"/>
    <m/>
    <m/>
    <s v="6-10 Years"/>
    <x v="0"/>
  </r>
  <r>
    <n v="26"/>
    <x v="0"/>
    <x v="0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m/>
    <m/>
    <s v="3-5 Years"/>
    <x v="0"/>
  </r>
  <r>
    <n v="46"/>
    <x v="0"/>
    <x v="0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m/>
    <m/>
    <s v="6-10 Years"/>
    <x v="1"/>
  </r>
  <r>
    <n v="40"/>
    <x v="1"/>
    <x v="0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1"/>
    <m/>
    <m/>
    <s v="3-5 Years"/>
    <x v="0"/>
  </r>
  <r>
    <n v="34"/>
    <x v="1"/>
    <x v="0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1"/>
    <m/>
    <m/>
    <s v="6-10 Years"/>
    <x v="1"/>
  </r>
  <r>
    <n v="58"/>
    <x v="1"/>
    <x v="2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1"/>
    <m/>
    <m/>
    <s v="16-20 Years"/>
    <x v="3"/>
  </r>
  <r>
    <n v="35"/>
    <x v="1"/>
    <x v="0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1"/>
    <m/>
    <m/>
    <s v="3-5 Years"/>
    <x v="0"/>
  </r>
  <r>
    <n v="47"/>
    <x v="1"/>
    <x v="0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1"/>
    <m/>
    <m/>
    <s v="21+ Years"/>
    <x v="3"/>
  </r>
  <r>
    <n v="40"/>
    <x v="1"/>
    <x v="0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1"/>
    <m/>
    <m/>
    <s v="6-10 Years"/>
    <x v="2"/>
  </r>
  <r>
    <n v="54"/>
    <x v="1"/>
    <x v="0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1"/>
    <m/>
    <m/>
    <s v="6-10 Years"/>
    <x v="0"/>
  </r>
  <r>
    <n v="31"/>
    <x v="1"/>
    <x v="1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1"/>
    <m/>
    <m/>
    <s v="3-5 Years"/>
    <x v="0"/>
  </r>
  <r>
    <n v="28"/>
    <x v="1"/>
    <x v="0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1"/>
    <m/>
    <m/>
    <s v="3-5 Years"/>
    <x v="0"/>
  </r>
  <r>
    <n v="38"/>
    <x v="1"/>
    <x v="0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1"/>
    <m/>
    <m/>
    <s v="3-5 Years"/>
    <x v="0"/>
  </r>
  <r>
    <n v="26"/>
    <x v="1"/>
    <x v="0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1"/>
    <m/>
    <m/>
    <s v="3-5 Years"/>
    <x v="0"/>
  </r>
  <r>
    <n v="58"/>
    <x v="1"/>
    <x v="1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1"/>
    <m/>
    <m/>
    <s v="0-2 Years"/>
    <x v="0"/>
  </r>
  <r>
    <n v="18"/>
    <x v="1"/>
    <x v="2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1"/>
    <m/>
    <m/>
    <s v="0-2 Years"/>
    <x v="0"/>
  </r>
  <r>
    <n v="31"/>
    <x v="0"/>
    <x v="0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m/>
    <m/>
    <s v="0-2 Years"/>
    <x v="0"/>
  </r>
  <r>
    <n v="29"/>
    <x v="0"/>
    <x v="0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m/>
    <m/>
    <s v="0-2 Years"/>
    <x v="0"/>
  </r>
  <r>
    <n v="45"/>
    <x v="1"/>
    <x v="2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1"/>
    <m/>
    <m/>
    <s v="6-10 Years"/>
    <x v="1"/>
  </r>
  <r>
    <n v="36"/>
    <x v="1"/>
    <x v="0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1"/>
    <m/>
    <m/>
    <s v="0-2 Years"/>
    <x v="0"/>
  </r>
  <r>
    <n v="43"/>
    <x v="1"/>
    <x v="1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1"/>
    <m/>
    <m/>
    <s v="6-10 Years"/>
    <x v="2"/>
  </r>
  <r>
    <n v="27"/>
    <x v="1"/>
    <x v="1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1"/>
    <m/>
    <m/>
    <s v="3-5 Years"/>
    <x v="0"/>
  </r>
  <r>
    <n v="29"/>
    <x v="1"/>
    <x v="1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1"/>
    <m/>
    <m/>
    <s v="11-15 Years"/>
    <x v="1"/>
  </r>
  <r>
    <n v="32"/>
    <x v="1"/>
    <x v="1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1"/>
    <m/>
    <m/>
    <s v="0-2 Years"/>
    <x v="0"/>
  </r>
  <r>
    <n v="42"/>
    <x v="1"/>
    <x v="2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1"/>
    <m/>
    <m/>
    <s v="6-10 Years"/>
    <x v="1"/>
  </r>
  <r>
    <n v="47"/>
    <x v="1"/>
    <x v="0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1"/>
    <m/>
    <m/>
    <s v="0-2 Years"/>
    <x v="0"/>
  </r>
  <r>
    <n v="46"/>
    <x v="1"/>
    <x v="0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1"/>
    <m/>
    <m/>
    <s v="6-10 Years"/>
    <x v="1"/>
  </r>
  <r>
    <n v="28"/>
    <x v="1"/>
    <x v="2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1"/>
    <m/>
    <m/>
    <s v="3-5 Years"/>
    <x v="0"/>
  </r>
  <r>
    <n v="29"/>
    <x v="1"/>
    <x v="0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1"/>
    <m/>
    <m/>
    <s v="6-10 Years"/>
    <x v="0"/>
  </r>
  <r>
    <n v="42"/>
    <x v="1"/>
    <x v="0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1"/>
    <m/>
    <m/>
    <s v="0-2 Years"/>
    <x v="0"/>
  </r>
  <r>
    <n v="32"/>
    <x v="0"/>
    <x v="0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m/>
    <m/>
    <s v="0-2 Years"/>
    <x v="0"/>
  </r>
  <r>
    <n v="46"/>
    <x v="1"/>
    <x v="0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1"/>
    <m/>
    <m/>
    <s v="16-20 Years"/>
    <x v="0"/>
  </r>
  <r>
    <n v="27"/>
    <x v="1"/>
    <x v="0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1"/>
    <m/>
    <m/>
    <s v="6-10 Years"/>
    <x v="1"/>
  </r>
  <r>
    <n v="29"/>
    <x v="1"/>
    <x v="0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1"/>
    <m/>
    <m/>
    <s v="0-2 Years"/>
    <x v="0"/>
  </r>
  <r>
    <n v="43"/>
    <x v="1"/>
    <x v="0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1"/>
    <m/>
    <m/>
    <s v="16-20 Years"/>
    <x v="2"/>
  </r>
  <r>
    <n v="48"/>
    <x v="1"/>
    <x v="0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1"/>
    <m/>
    <m/>
    <s v="21+ Years"/>
    <x v="3"/>
  </r>
  <r>
    <n v="29"/>
    <x v="0"/>
    <x v="1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m/>
    <m/>
    <s v="0-2 Years"/>
    <x v="0"/>
  </r>
  <r>
    <n v="46"/>
    <x v="0"/>
    <x v="0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m/>
    <m/>
    <s v="6-10 Years"/>
    <x v="0"/>
  </r>
  <r>
    <n v="27"/>
    <x v="1"/>
    <x v="1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1"/>
    <m/>
    <m/>
    <s v="6-10 Years"/>
    <x v="2"/>
  </r>
  <r>
    <n v="39"/>
    <x v="1"/>
    <x v="0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1"/>
    <m/>
    <m/>
    <s v="0-2 Years"/>
    <x v="0"/>
  </r>
  <r>
    <n v="55"/>
    <x v="1"/>
    <x v="0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1"/>
    <m/>
    <m/>
    <s v="3-5 Years"/>
    <x v="0"/>
  </r>
  <r>
    <n v="28"/>
    <x v="1"/>
    <x v="0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1"/>
    <m/>
    <m/>
    <s v="0-2 Years"/>
    <x v="0"/>
  </r>
  <r>
    <n v="30"/>
    <x v="0"/>
    <x v="0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m/>
    <m/>
    <s v="0-2 Years"/>
    <x v="0"/>
  </r>
  <r>
    <n v="22"/>
    <x v="0"/>
    <x v="0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m/>
    <m/>
    <s v="0-2 Years"/>
    <x v="0"/>
  </r>
  <r>
    <n v="36"/>
    <x v="1"/>
    <x v="0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1"/>
    <m/>
    <m/>
    <s v="6-10 Years"/>
    <x v="0"/>
  </r>
  <r>
    <n v="31"/>
    <x v="1"/>
    <x v="0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1"/>
    <m/>
    <m/>
    <s v="6-10 Years"/>
    <x v="0"/>
  </r>
  <r>
    <n v="34"/>
    <x v="1"/>
    <x v="0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1"/>
    <m/>
    <m/>
    <s v="3-5 Years"/>
    <x v="0"/>
  </r>
  <r>
    <n v="29"/>
    <x v="1"/>
    <x v="0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1"/>
    <m/>
    <m/>
    <s v="3-5 Years"/>
    <x v="0"/>
  </r>
  <r>
    <n v="37"/>
    <x v="1"/>
    <x v="0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1"/>
    <m/>
    <m/>
    <s v="3-5 Years"/>
    <x v="0"/>
  </r>
  <r>
    <n v="35"/>
    <x v="1"/>
    <x v="0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1"/>
    <m/>
    <m/>
    <s v="3-5 Years"/>
    <x v="0"/>
  </r>
  <r>
    <n v="45"/>
    <x v="1"/>
    <x v="0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1"/>
    <m/>
    <m/>
    <s v="6-10 Years"/>
    <x v="1"/>
  </r>
  <r>
    <n v="36"/>
    <x v="1"/>
    <x v="1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1"/>
    <m/>
    <m/>
    <s v="6-10 Years"/>
    <x v="0"/>
  </r>
  <r>
    <n v="40"/>
    <x v="1"/>
    <x v="0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1"/>
    <m/>
    <m/>
    <s v="16-20 Years"/>
    <x v="3"/>
  </r>
  <r>
    <n v="26"/>
    <x v="1"/>
    <x v="0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1"/>
    <m/>
    <m/>
    <s v="0-2 Years"/>
    <x v="0"/>
  </r>
  <r>
    <n v="27"/>
    <x v="1"/>
    <x v="0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1"/>
    <m/>
    <m/>
    <s v="6-10 Years"/>
    <x v="0"/>
  </r>
  <r>
    <n v="48"/>
    <x v="1"/>
    <x v="1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1"/>
    <m/>
    <m/>
    <s v="21+ Years"/>
    <x v="1"/>
  </r>
  <r>
    <n v="44"/>
    <x v="1"/>
    <x v="0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1"/>
    <m/>
    <m/>
    <s v="0-2 Years"/>
    <x v="0"/>
  </r>
  <r>
    <n v="34"/>
    <x v="0"/>
    <x v="2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m/>
    <m/>
    <s v="3-5 Years"/>
    <x v="1"/>
  </r>
  <r>
    <n v="56"/>
    <x v="0"/>
    <x v="0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m/>
    <m/>
    <s v="3-5 Years"/>
    <x v="0"/>
  </r>
  <r>
    <n v="36"/>
    <x v="1"/>
    <x v="0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1"/>
    <m/>
    <m/>
    <s v="3-5 Years"/>
    <x v="0"/>
  </r>
  <r>
    <n v="41"/>
    <x v="1"/>
    <x v="0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1"/>
    <m/>
    <m/>
    <s v="3-5 Years"/>
    <x v="0"/>
  </r>
  <r>
    <n v="42"/>
    <x v="1"/>
    <x v="0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1"/>
    <m/>
    <m/>
    <s v="11-15 Years"/>
    <x v="1"/>
  </r>
  <r>
    <n v="31"/>
    <x v="1"/>
    <x v="0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1"/>
    <m/>
    <m/>
    <s v="3-5 Years"/>
    <x v="0"/>
  </r>
  <r>
    <n v="34"/>
    <x v="1"/>
    <x v="0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1"/>
    <m/>
    <m/>
    <s v="3-5 Years"/>
    <x v="0"/>
  </r>
  <r>
    <n v="31"/>
    <x v="1"/>
    <x v="0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1"/>
    <m/>
    <m/>
    <s v="0-2 Years"/>
    <x v="0"/>
  </r>
  <r>
    <n v="26"/>
    <x v="1"/>
    <x v="1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1"/>
    <m/>
    <m/>
    <s v="6-10 Years"/>
    <x v="2"/>
  </r>
  <r>
    <n v="45"/>
    <x v="1"/>
    <x v="1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1"/>
    <m/>
    <m/>
    <s v="3-5 Years"/>
    <x v="0"/>
  </r>
  <r>
    <n v="33"/>
    <x v="1"/>
    <x v="0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1"/>
    <m/>
    <m/>
    <s v="6-10 Years"/>
    <x v="0"/>
  </r>
  <r>
    <n v="28"/>
    <x v="1"/>
    <x v="1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1"/>
    <m/>
    <m/>
    <s v="6-10 Years"/>
    <x v="0"/>
  </r>
  <r>
    <n v="29"/>
    <x v="0"/>
    <x v="1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m/>
    <m/>
    <s v="0-2 Years"/>
    <x v="0"/>
  </r>
  <r>
    <n v="39"/>
    <x v="1"/>
    <x v="2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1"/>
    <m/>
    <m/>
    <s v="3-5 Years"/>
    <x v="0"/>
  </r>
  <r>
    <n v="27"/>
    <x v="1"/>
    <x v="0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1"/>
    <m/>
    <m/>
    <s v="3-5 Years"/>
    <x v="0"/>
  </r>
  <r>
    <n v="34"/>
    <x v="1"/>
    <x v="1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1"/>
    <m/>
    <m/>
    <s v="11-15 Years"/>
    <x v="2"/>
  </r>
  <r>
    <n v="28"/>
    <x v="0"/>
    <x v="0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m/>
    <m/>
    <s v="0-2 Years"/>
    <x v="0"/>
  </r>
  <r>
    <n v="47"/>
    <x v="1"/>
    <x v="2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1"/>
    <m/>
    <m/>
    <s v="6-10 Years"/>
    <x v="0"/>
  </r>
  <r>
    <n v="56"/>
    <x v="1"/>
    <x v="0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1"/>
    <m/>
    <m/>
    <s v="0-2 Years"/>
    <x v="0"/>
  </r>
  <r>
    <n v="39"/>
    <x v="1"/>
    <x v="0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1"/>
    <m/>
    <m/>
    <s v="6-10 Years"/>
    <x v="2"/>
  </r>
  <r>
    <n v="38"/>
    <x v="1"/>
    <x v="1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1"/>
    <m/>
    <m/>
    <s v="16-20 Years"/>
    <x v="0"/>
  </r>
  <r>
    <n v="58"/>
    <x v="1"/>
    <x v="0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1"/>
    <m/>
    <m/>
    <s v="0-2 Years"/>
    <x v="0"/>
  </r>
  <r>
    <n v="32"/>
    <x v="0"/>
    <x v="1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m/>
    <m/>
    <s v="3-5 Years"/>
    <x v="0"/>
  </r>
  <r>
    <n v="38"/>
    <x v="1"/>
    <x v="0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1"/>
    <m/>
    <m/>
    <s v="3-5 Years"/>
    <x v="0"/>
  </r>
  <r>
    <n v="49"/>
    <x v="1"/>
    <x v="1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1"/>
    <m/>
    <m/>
    <s v="3-5 Years"/>
    <x v="1"/>
  </r>
  <r>
    <n v="42"/>
    <x v="1"/>
    <x v="0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1"/>
    <m/>
    <m/>
    <s v="0-2 Years"/>
    <x v="0"/>
  </r>
  <r>
    <n v="27"/>
    <x v="0"/>
    <x v="1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m/>
    <m/>
    <s v="0-2 Years"/>
    <x v="0"/>
  </r>
  <r>
    <n v="35"/>
    <x v="1"/>
    <x v="0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1"/>
    <m/>
    <m/>
    <s v="3-5 Years"/>
    <x v="0"/>
  </r>
  <r>
    <n v="28"/>
    <x v="1"/>
    <x v="2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1"/>
    <m/>
    <m/>
    <s v="3-5 Years"/>
    <x v="0"/>
  </r>
  <r>
    <n v="31"/>
    <x v="1"/>
    <x v="2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1"/>
    <m/>
    <m/>
    <s v="3-5 Years"/>
    <x v="0"/>
  </r>
  <r>
    <n v="36"/>
    <x v="1"/>
    <x v="2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1"/>
    <m/>
    <m/>
    <s v="3-5 Years"/>
    <x v="0"/>
  </r>
  <r>
    <n v="34"/>
    <x v="1"/>
    <x v="0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1"/>
    <m/>
    <m/>
    <s v="11-15 Years"/>
    <x v="0"/>
  </r>
  <r>
    <n v="34"/>
    <x v="1"/>
    <x v="0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1"/>
    <m/>
    <m/>
    <s v="6-10 Years"/>
    <x v="0"/>
  </r>
  <r>
    <n v="26"/>
    <x v="1"/>
    <x v="0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1"/>
    <m/>
    <m/>
    <s v="6-10 Years"/>
    <x v="2"/>
  </r>
  <r>
    <n v="29"/>
    <x v="1"/>
    <x v="0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1"/>
    <m/>
    <m/>
    <s v="3-5 Years"/>
    <x v="0"/>
  </r>
  <r>
    <n v="32"/>
    <x v="1"/>
    <x v="2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1"/>
    <m/>
    <m/>
    <s v="3-5 Years"/>
    <x v="0"/>
  </r>
  <r>
    <n v="31"/>
    <x v="1"/>
    <x v="1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1"/>
    <m/>
    <m/>
    <s v="6-10 Years"/>
    <x v="2"/>
  </r>
  <r>
    <n v="28"/>
    <x v="0"/>
    <x v="0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m/>
    <m/>
    <s v="3-5 Years"/>
    <x v="0"/>
  </r>
  <r>
    <n v="38"/>
    <x v="1"/>
    <x v="0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1"/>
    <m/>
    <m/>
    <s v="0-2 Years"/>
    <x v="0"/>
  </r>
  <r>
    <n v="35"/>
    <x v="1"/>
    <x v="0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1"/>
    <m/>
    <m/>
    <s v="6-10 Years"/>
    <x v="0"/>
  </r>
  <r>
    <n v="27"/>
    <x v="1"/>
    <x v="0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1"/>
    <m/>
    <m/>
    <s v="6-10 Years"/>
    <x v="0"/>
  </r>
  <r>
    <n v="32"/>
    <x v="1"/>
    <x v="0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1"/>
    <m/>
    <m/>
    <s v="0-2 Years"/>
    <x v="0"/>
  </r>
  <r>
    <n v="31"/>
    <x v="0"/>
    <x v="1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m/>
    <m/>
    <s v="6-10 Years"/>
    <x v="0"/>
  </r>
  <r>
    <n v="53"/>
    <x v="0"/>
    <x v="0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m/>
    <m/>
    <s v="0-2 Years"/>
    <x v="0"/>
  </r>
  <r>
    <n v="54"/>
    <x v="1"/>
    <x v="0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1"/>
    <m/>
    <m/>
    <s v="3-5 Years"/>
    <x v="0"/>
  </r>
  <r>
    <n v="33"/>
    <x v="1"/>
    <x v="1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1"/>
    <m/>
    <m/>
    <s v="6-10 Years"/>
    <x v="0"/>
  </r>
  <r>
    <n v="43"/>
    <x v="1"/>
    <x v="0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1"/>
    <m/>
    <m/>
    <s v="6-10 Years"/>
    <x v="0"/>
  </r>
  <r>
    <n v="38"/>
    <x v="1"/>
    <x v="1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1"/>
    <m/>
    <m/>
    <s v="6-10 Years"/>
    <x v="0"/>
  </r>
  <r>
    <n v="55"/>
    <x v="1"/>
    <x v="0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1"/>
    <m/>
    <m/>
    <s v="6-10 Years"/>
    <x v="0"/>
  </r>
  <r>
    <n v="31"/>
    <x v="1"/>
    <x v="0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1"/>
    <m/>
    <m/>
    <s v="0-2 Years"/>
    <x v="0"/>
  </r>
  <r>
    <n v="39"/>
    <x v="1"/>
    <x v="0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1"/>
    <m/>
    <m/>
    <s v="16-20 Years"/>
    <x v="3"/>
  </r>
  <r>
    <n v="42"/>
    <x v="1"/>
    <x v="2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1"/>
    <m/>
    <m/>
    <s v="16-20 Years"/>
    <x v="1"/>
  </r>
  <r>
    <n v="31"/>
    <x v="1"/>
    <x v="2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1"/>
    <m/>
    <m/>
    <s v="11-15 Years"/>
    <x v="1"/>
  </r>
  <r>
    <n v="54"/>
    <x v="1"/>
    <x v="0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1"/>
    <m/>
    <m/>
    <s v="3-5 Years"/>
    <x v="0"/>
  </r>
  <r>
    <n v="24"/>
    <x v="1"/>
    <x v="0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1"/>
    <m/>
    <m/>
    <s v="3-5 Years"/>
    <x v="0"/>
  </r>
  <r>
    <n v="23"/>
    <x v="1"/>
    <x v="0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1"/>
    <m/>
    <m/>
    <s v="3-5 Years"/>
    <x v="0"/>
  </r>
  <r>
    <n v="40"/>
    <x v="1"/>
    <x v="1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1"/>
    <m/>
    <m/>
    <s v="6-10 Years"/>
    <x v="2"/>
  </r>
  <r>
    <n v="40"/>
    <x v="1"/>
    <x v="0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1"/>
    <m/>
    <m/>
    <s v="11-15 Years"/>
    <x v="1"/>
  </r>
  <r>
    <n v="25"/>
    <x v="1"/>
    <x v="0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1"/>
    <m/>
    <m/>
    <s v="0-2 Years"/>
    <x v="0"/>
  </r>
  <r>
    <n v="30"/>
    <x v="1"/>
    <x v="0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1"/>
    <m/>
    <m/>
    <s v="11-15 Years"/>
    <x v="0"/>
  </r>
  <r>
    <n v="25"/>
    <x v="1"/>
    <x v="0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1"/>
    <m/>
    <m/>
    <s v="0-2 Years"/>
    <x v="0"/>
  </r>
  <r>
    <n v="47"/>
    <x v="1"/>
    <x v="0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1"/>
    <m/>
    <m/>
    <s v="16-20 Years"/>
    <x v="3"/>
  </r>
  <r>
    <n v="33"/>
    <x v="1"/>
    <x v="2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1"/>
    <m/>
    <m/>
    <s v="0-2 Years"/>
    <x v="0"/>
  </r>
  <r>
    <n v="38"/>
    <x v="1"/>
    <x v="0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1"/>
    <m/>
    <m/>
    <s v="11-15 Years"/>
    <x v="1"/>
  </r>
  <r>
    <n v="31"/>
    <x v="1"/>
    <x v="0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1"/>
    <m/>
    <m/>
    <s v="0-2 Years"/>
    <x v="0"/>
  </r>
  <r>
    <n v="38"/>
    <x v="1"/>
    <x v="1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1"/>
    <m/>
    <m/>
    <s v="6-10 Years"/>
    <x v="2"/>
  </r>
  <r>
    <n v="42"/>
    <x v="1"/>
    <x v="0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1"/>
    <m/>
    <m/>
    <s v="3-5 Years"/>
    <x v="0"/>
  </r>
  <r>
    <n v="41"/>
    <x v="1"/>
    <x v="0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1"/>
    <m/>
    <m/>
    <s v="3-5 Years"/>
    <x v="0"/>
  </r>
  <r>
    <n v="47"/>
    <x v="1"/>
    <x v="2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1"/>
    <m/>
    <m/>
    <s v="11-15 Years"/>
    <x v="1"/>
  </r>
  <r>
    <n v="35"/>
    <x v="1"/>
    <x v="0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1"/>
    <m/>
    <m/>
    <s v="0-2 Years"/>
    <x v="0"/>
  </r>
  <r>
    <n v="22"/>
    <x v="1"/>
    <x v="0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1"/>
    <m/>
    <m/>
    <s v="3-5 Years"/>
    <x v="0"/>
  </r>
  <r>
    <n v="35"/>
    <x v="1"/>
    <x v="0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1"/>
    <m/>
    <m/>
    <s v="6-10 Years"/>
    <x v="0"/>
  </r>
  <r>
    <n v="33"/>
    <x v="1"/>
    <x v="0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1"/>
    <m/>
    <m/>
    <s v="6-10 Years"/>
    <x v="2"/>
  </r>
  <r>
    <n v="32"/>
    <x v="1"/>
    <x v="0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1"/>
    <m/>
    <m/>
    <s v="6-10 Years"/>
    <x v="1"/>
  </r>
  <r>
    <n v="40"/>
    <x v="1"/>
    <x v="0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1"/>
    <m/>
    <m/>
    <s v="0-2 Years"/>
    <x v="0"/>
  </r>
  <r>
    <n v="32"/>
    <x v="1"/>
    <x v="0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1"/>
    <m/>
    <m/>
    <s v="0-2 Years"/>
    <x v="0"/>
  </r>
  <r>
    <n v="39"/>
    <x v="1"/>
    <x v="0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1"/>
    <m/>
    <m/>
    <s v="6-10 Years"/>
    <x v="0"/>
  </r>
  <r>
    <n v="38"/>
    <x v="1"/>
    <x v="0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1"/>
    <m/>
    <m/>
    <s v="16-20 Years"/>
    <x v="0"/>
  </r>
  <r>
    <n v="32"/>
    <x v="1"/>
    <x v="0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1"/>
    <m/>
    <m/>
    <s v="11-15 Years"/>
    <x v="1"/>
  </r>
  <r>
    <n v="37"/>
    <x v="1"/>
    <x v="0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1"/>
    <m/>
    <m/>
    <s v="16-20 Years"/>
    <x v="2"/>
  </r>
  <r>
    <n v="25"/>
    <x v="1"/>
    <x v="0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1"/>
    <m/>
    <m/>
    <s v="3-5 Years"/>
    <x v="0"/>
  </r>
  <r>
    <n v="52"/>
    <x v="1"/>
    <x v="2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1"/>
    <m/>
    <m/>
    <s v="6-10 Years"/>
    <x v="0"/>
  </r>
  <r>
    <n v="44"/>
    <x v="1"/>
    <x v="0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1"/>
    <m/>
    <m/>
    <s v="3-5 Years"/>
    <x v="0"/>
  </r>
  <r>
    <n v="21"/>
    <x v="1"/>
    <x v="0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1"/>
    <m/>
    <m/>
    <s v="0-2 Years"/>
    <x v="0"/>
  </r>
  <r>
    <n v="39"/>
    <x v="1"/>
    <x v="2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1"/>
    <m/>
    <m/>
    <s v="6-10 Years"/>
    <x v="0"/>
  </r>
  <r>
    <n v="23"/>
    <x v="0"/>
    <x v="1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m/>
    <m/>
    <s v="0-2 Years"/>
    <x v="0"/>
  </r>
  <r>
    <n v="36"/>
    <x v="1"/>
    <x v="0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1"/>
    <m/>
    <m/>
    <s v="6-10 Years"/>
    <x v="1"/>
  </r>
  <r>
    <n v="36"/>
    <x v="1"/>
    <x v="1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1"/>
    <m/>
    <m/>
    <s v="3-5 Years"/>
    <x v="0"/>
  </r>
  <r>
    <n v="56"/>
    <x v="1"/>
    <x v="2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1"/>
    <m/>
    <m/>
    <s v="11-15 Years"/>
    <x v="0"/>
  </r>
  <r>
    <n v="29"/>
    <x v="0"/>
    <x v="0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m/>
    <m/>
    <s v="0-2 Years"/>
    <x v="0"/>
  </r>
  <r>
    <n v="42"/>
    <x v="1"/>
    <x v="0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1"/>
    <m/>
    <m/>
    <s v="21+ Years"/>
    <x v="1"/>
  </r>
  <r>
    <n v="56"/>
    <x v="0"/>
    <x v="0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m/>
    <m/>
    <s v="6-10 Years"/>
    <x v="2"/>
  </r>
  <r>
    <n v="41"/>
    <x v="1"/>
    <x v="0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1"/>
    <m/>
    <m/>
    <s v="16-20 Years"/>
    <x v="0"/>
  </r>
  <r>
    <n v="34"/>
    <x v="1"/>
    <x v="0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1"/>
    <m/>
    <m/>
    <s v="6-10 Years"/>
    <x v="0"/>
  </r>
  <r>
    <n v="36"/>
    <x v="1"/>
    <x v="2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1"/>
    <m/>
    <m/>
    <s v="11-15 Years"/>
    <x v="3"/>
  </r>
  <r>
    <n v="41"/>
    <x v="1"/>
    <x v="0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1"/>
    <m/>
    <m/>
    <s v="3-5 Years"/>
    <x v="0"/>
  </r>
  <r>
    <n v="32"/>
    <x v="1"/>
    <x v="0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1"/>
    <m/>
    <m/>
    <s v="3-5 Years"/>
    <x v="0"/>
  </r>
  <r>
    <n v="35"/>
    <x v="1"/>
    <x v="0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1"/>
    <m/>
    <m/>
    <s v="6-10 Years"/>
    <x v="0"/>
  </r>
  <r>
    <n v="38"/>
    <x v="1"/>
    <x v="0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1"/>
    <m/>
    <m/>
    <s v="6-10 Years"/>
    <x v="0"/>
  </r>
  <r>
    <n v="50"/>
    <x v="0"/>
    <x v="1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m/>
    <m/>
    <s v="6-10 Years"/>
    <x v="0"/>
  </r>
  <r>
    <n v="36"/>
    <x v="1"/>
    <x v="0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1"/>
    <m/>
    <m/>
    <s v="6-10 Years"/>
    <x v="0"/>
  </r>
  <r>
    <n v="45"/>
    <x v="1"/>
    <x v="0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1"/>
    <m/>
    <m/>
    <s v="3-5 Years"/>
    <x v="0"/>
  </r>
  <r>
    <n v="40"/>
    <x v="1"/>
    <x v="0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1"/>
    <m/>
    <m/>
    <s v="0-2 Years"/>
    <x v="0"/>
  </r>
  <r>
    <n v="35"/>
    <x v="1"/>
    <x v="1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1"/>
    <m/>
    <m/>
    <s v="6-10 Years"/>
    <x v="0"/>
  </r>
  <r>
    <n v="40"/>
    <x v="1"/>
    <x v="0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1"/>
    <m/>
    <m/>
    <s v="3-5 Years"/>
    <x v="0"/>
  </r>
  <r>
    <n v="35"/>
    <x v="1"/>
    <x v="0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1"/>
    <m/>
    <m/>
    <s v="3-5 Years"/>
    <x v="0"/>
  </r>
  <r>
    <n v="29"/>
    <x v="1"/>
    <x v="0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1"/>
    <m/>
    <m/>
    <s v="3-5 Years"/>
    <x v="0"/>
  </r>
  <r>
    <n v="29"/>
    <x v="1"/>
    <x v="0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1"/>
    <m/>
    <m/>
    <s v="3-5 Years"/>
    <x v="0"/>
  </r>
  <r>
    <n v="50"/>
    <x v="0"/>
    <x v="0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m/>
    <m/>
    <s v="3-5 Years"/>
    <x v="0"/>
  </r>
  <r>
    <n v="39"/>
    <x v="1"/>
    <x v="0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1"/>
    <m/>
    <m/>
    <s v="16-20 Years"/>
    <x v="2"/>
  </r>
  <r>
    <n v="31"/>
    <x v="1"/>
    <x v="2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1"/>
    <m/>
    <m/>
    <s v="6-10 Years"/>
    <x v="0"/>
  </r>
  <r>
    <n v="26"/>
    <x v="1"/>
    <x v="0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1"/>
    <m/>
    <m/>
    <s v="3-5 Years"/>
    <x v="0"/>
  </r>
  <r>
    <n v="36"/>
    <x v="1"/>
    <x v="1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1"/>
    <m/>
    <m/>
    <s v="3-5 Years"/>
    <x v="0"/>
  </r>
  <r>
    <n v="39"/>
    <x v="1"/>
    <x v="0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1"/>
    <m/>
    <m/>
    <s v="6-10 Years"/>
    <x v="0"/>
  </r>
  <r>
    <n v="27"/>
    <x v="1"/>
    <x v="0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1"/>
    <m/>
    <m/>
    <s v="6-10 Years"/>
    <x v="0"/>
  </r>
  <r>
    <n v="49"/>
    <x v="1"/>
    <x v="1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1"/>
    <m/>
    <m/>
    <s v="6-10 Years"/>
    <x v="0"/>
  </r>
  <r>
    <n v="34"/>
    <x v="1"/>
    <x v="0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1"/>
    <m/>
    <m/>
    <s v="3-5 Years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x v="0"/>
    <n v="6"/>
    <n v="4"/>
    <n v="0"/>
    <n v="5"/>
    <n v="1"/>
    <s v="41_Sales_Sales Executive"/>
    <n v="0"/>
    <s v="6-10 Years"/>
    <s v="0-2 Years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x v="1"/>
    <n v="10"/>
    <n v="7"/>
    <n v="1"/>
    <n v="7"/>
    <n v="1"/>
    <m/>
    <m/>
    <s v="6-10 Years"/>
    <s v="0-2 Years"/>
    <x v="1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x v="1"/>
    <n v="0"/>
    <n v="0"/>
    <n v="0"/>
    <n v="0"/>
    <n v="1"/>
    <m/>
    <m/>
    <s v="0-2 Years"/>
    <s v="0-2 Years"/>
    <x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x v="1"/>
    <n v="8"/>
    <n v="7"/>
    <n v="3"/>
    <n v="0"/>
    <n v="1"/>
    <m/>
    <m/>
    <s v="6-10 Years"/>
    <s v="3-5 Years"/>
    <x v="2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x v="1"/>
    <n v="2"/>
    <n v="2"/>
    <n v="2"/>
    <n v="2"/>
    <n v="1"/>
    <m/>
    <m/>
    <s v="0-2 Years"/>
    <s v="0-2 Years"/>
    <x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x v="2"/>
    <n v="7"/>
    <n v="7"/>
    <n v="3"/>
    <n v="6"/>
    <n v="1"/>
    <m/>
    <m/>
    <s v="6-10 Years"/>
    <s v="3-5 Years"/>
    <x v="2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x v="2"/>
    <n v="1"/>
    <n v="0"/>
    <n v="0"/>
    <n v="0"/>
    <n v="1"/>
    <m/>
    <m/>
    <s v="0-2 Years"/>
    <s v="0-2 Years"/>
    <x v="3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x v="1"/>
    <n v="1"/>
    <n v="0"/>
    <n v="0"/>
    <n v="0"/>
    <n v="1"/>
    <m/>
    <m/>
    <s v="0-2 Years"/>
    <s v="0-2 Years"/>
    <x v="2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x v="1"/>
    <n v="9"/>
    <n v="7"/>
    <n v="1"/>
    <n v="8"/>
    <n v="1"/>
    <m/>
    <m/>
    <s v="6-10 Years"/>
    <s v="0-2 Years"/>
    <x v="0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x v="2"/>
    <n v="7"/>
    <n v="7"/>
    <n v="7"/>
    <n v="7"/>
    <n v="1"/>
    <m/>
    <m/>
    <s v="6-10 Years"/>
    <s v="6-10 Years"/>
    <x v="0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x v="1"/>
    <n v="5"/>
    <n v="4"/>
    <n v="0"/>
    <n v="3"/>
    <n v="1"/>
    <m/>
    <m/>
    <s v="3-5 Years"/>
    <s v="0-2 Years"/>
    <x v="2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x v="1"/>
    <n v="9"/>
    <n v="5"/>
    <n v="0"/>
    <n v="8"/>
    <n v="1"/>
    <m/>
    <m/>
    <s v="6-10 Years"/>
    <s v="0-2 Years"/>
    <x v="2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x v="2"/>
    <n v="5"/>
    <n v="2"/>
    <n v="4"/>
    <n v="3"/>
    <n v="1"/>
    <m/>
    <m/>
    <s v="3-5 Years"/>
    <s v="3-5 Years"/>
    <x v="2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x v="1"/>
    <n v="2"/>
    <n v="2"/>
    <n v="1"/>
    <n v="2"/>
    <n v="1"/>
    <m/>
    <m/>
    <s v="0-2 Years"/>
    <s v="0-2 Years"/>
    <x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x v="1"/>
    <n v="4"/>
    <n v="2"/>
    <n v="0"/>
    <n v="3"/>
    <n v="1"/>
    <m/>
    <m/>
    <s v="3-5 Years"/>
    <s v="0-2 Years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x v="1"/>
    <n v="10"/>
    <n v="9"/>
    <n v="8"/>
    <n v="8"/>
    <n v="1"/>
    <m/>
    <m/>
    <s v="6-10 Years"/>
    <s v="6-10 Years"/>
    <x v="2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x v="2"/>
    <n v="6"/>
    <n v="2"/>
    <n v="0"/>
    <n v="5"/>
    <n v="1"/>
    <m/>
    <m/>
    <s v="6-10 Years"/>
    <s v="0-2 Years"/>
    <x v="2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x v="2"/>
    <n v="1"/>
    <n v="0"/>
    <n v="0"/>
    <n v="0"/>
    <n v="1"/>
    <m/>
    <m/>
    <s v="0-2 Years"/>
    <s v="0-2 Years"/>
    <x v="4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x v="1"/>
    <n v="25"/>
    <n v="8"/>
    <n v="3"/>
    <n v="7"/>
    <n v="1"/>
    <m/>
    <m/>
    <s v="21+ Years"/>
    <s v="3-5 Years"/>
    <x v="1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x v="1"/>
    <n v="3"/>
    <n v="2"/>
    <n v="1"/>
    <n v="2"/>
    <n v="1"/>
    <m/>
    <m/>
    <s v="3-5 Years"/>
    <s v="0-2 Years"/>
    <x v="0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x v="2"/>
    <n v="4"/>
    <n v="2"/>
    <n v="1"/>
    <n v="3"/>
    <n v="1"/>
    <m/>
    <m/>
    <s v="3-5 Years"/>
    <s v="0-2 Years"/>
    <x v="4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x v="1"/>
    <n v="5"/>
    <n v="3"/>
    <n v="0"/>
    <n v="3"/>
    <n v="1"/>
    <m/>
    <m/>
    <s v="3-5 Years"/>
    <s v="0-2 Years"/>
    <x v="0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x v="1"/>
    <n v="12"/>
    <n v="6"/>
    <n v="2"/>
    <n v="11"/>
    <n v="1"/>
    <m/>
    <m/>
    <s v="11-15 Years"/>
    <s v="0-2 Years"/>
    <x v="2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x v="1"/>
    <n v="0"/>
    <n v="0"/>
    <n v="0"/>
    <n v="0"/>
    <n v="1"/>
    <m/>
    <m/>
    <s v="0-2 Years"/>
    <s v="0-2 Years"/>
    <x v="4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x v="1"/>
    <n v="4"/>
    <n v="2"/>
    <n v="1"/>
    <n v="3"/>
    <n v="1"/>
    <m/>
    <m/>
    <s v="3-5 Years"/>
    <s v="0-2 Years"/>
    <x v="2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x v="2"/>
    <n v="14"/>
    <n v="13"/>
    <n v="4"/>
    <n v="8"/>
    <n v="1"/>
    <m/>
    <m/>
    <s v="11-15 Years"/>
    <s v="3-5 Years"/>
    <x v="1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x v="1"/>
    <n v="10"/>
    <n v="2"/>
    <n v="6"/>
    <n v="7"/>
    <n v="1"/>
    <m/>
    <m/>
    <s v="6-10 Years"/>
    <s v="6-10 Years"/>
    <x v="2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x v="1"/>
    <n v="9"/>
    <n v="7"/>
    <n v="4"/>
    <n v="2"/>
    <n v="1"/>
    <m/>
    <m/>
    <s v="6-10 Years"/>
    <s v="3-5 Years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x v="1"/>
    <n v="22"/>
    <n v="6"/>
    <n v="5"/>
    <n v="17"/>
    <n v="1"/>
    <m/>
    <m/>
    <s v="21+ Years"/>
    <s v="3-5 Years"/>
    <x v="0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x v="2"/>
    <n v="2"/>
    <n v="2"/>
    <n v="2"/>
    <n v="1"/>
    <n v="1"/>
    <m/>
    <m/>
    <s v="0-2 Years"/>
    <s v="0-2 Years"/>
    <x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x v="1"/>
    <n v="1"/>
    <n v="1"/>
    <n v="0"/>
    <n v="0"/>
    <n v="1"/>
    <m/>
    <m/>
    <s v="0-2 Years"/>
    <s v="0-2 Years"/>
    <x v="2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x v="3"/>
    <n v="4"/>
    <n v="2"/>
    <n v="1"/>
    <n v="3"/>
    <n v="1"/>
    <m/>
    <m/>
    <s v="3-5 Years"/>
    <s v="0-2 Years"/>
    <x v="0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x v="1"/>
    <n v="10"/>
    <n v="0"/>
    <n v="1"/>
    <n v="8"/>
    <n v="1"/>
    <m/>
    <m/>
    <s v="6-10 Years"/>
    <s v="0-2 Years"/>
    <x v="2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x v="3"/>
    <n v="1"/>
    <n v="0"/>
    <n v="0"/>
    <n v="0"/>
    <n v="1"/>
    <m/>
    <m/>
    <s v="0-2 Years"/>
    <s v="0-2 Years"/>
    <x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x v="2"/>
    <n v="2"/>
    <n v="0"/>
    <n v="2"/>
    <n v="0"/>
    <n v="1"/>
    <m/>
    <m/>
    <s v="0-2 Years"/>
    <s v="0-2 Years"/>
    <x v="4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x v="2"/>
    <n v="5"/>
    <n v="3"/>
    <n v="1"/>
    <n v="4"/>
    <n v="1"/>
    <m/>
    <m/>
    <s v="3-5 Years"/>
    <s v="0-2 Years"/>
    <x v="0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x v="1"/>
    <n v="3"/>
    <n v="2"/>
    <n v="0"/>
    <n v="2"/>
    <n v="1"/>
    <m/>
    <m/>
    <s v="3-5 Years"/>
    <s v="0-2 Years"/>
    <x v="1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x v="1"/>
    <n v="2"/>
    <n v="2"/>
    <n v="2"/>
    <n v="2"/>
    <n v="1"/>
    <m/>
    <m/>
    <s v="0-2 Years"/>
    <s v="0-2 Years"/>
    <x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x v="3"/>
    <n v="1"/>
    <n v="1"/>
    <n v="0"/>
    <n v="0"/>
    <n v="1"/>
    <m/>
    <m/>
    <s v="0-2 Years"/>
    <s v="0-2 Years"/>
    <x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x v="1"/>
    <n v="5"/>
    <n v="3"/>
    <n v="1"/>
    <n v="3"/>
    <n v="1"/>
    <m/>
    <m/>
    <s v="3-5 Years"/>
    <s v="0-2 Years"/>
    <x v="2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x v="1"/>
    <n v="1"/>
    <n v="0"/>
    <n v="0"/>
    <n v="0"/>
    <n v="1"/>
    <m/>
    <m/>
    <s v="0-2 Years"/>
    <s v="0-2 Years"/>
    <x v="2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x v="1"/>
    <n v="1"/>
    <n v="0"/>
    <n v="0"/>
    <n v="0"/>
    <n v="1"/>
    <m/>
    <m/>
    <s v="0-2 Years"/>
    <s v="0-2 Years"/>
    <x v="2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x v="2"/>
    <n v="1"/>
    <n v="0"/>
    <n v="0"/>
    <n v="1"/>
    <n v="1"/>
    <m/>
    <m/>
    <s v="0-2 Years"/>
    <s v="0-2 Years"/>
    <x v="2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x v="1"/>
    <n v="9"/>
    <n v="8"/>
    <n v="1"/>
    <n v="7"/>
    <n v="1"/>
    <m/>
    <m/>
    <s v="6-10 Years"/>
    <s v="0-2 Years"/>
    <x v="2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x v="1"/>
    <n v="12"/>
    <n v="8"/>
    <n v="3"/>
    <n v="7"/>
    <n v="1"/>
    <m/>
    <m/>
    <s v="11-15 Years"/>
    <s v="3-5 Years"/>
    <x v="2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x v="1"/>
    <n v="22"/>
    <n v="15"/>
    <n v="15"/>
    <n v="8"/>
    <n v="1"/>
    <m/>
    <m/>
    <s v="21+ Years"/>
    <s v="11-15 Years"/>
    <x v="0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x v="1"/>
    <n v="9"/>
    <n v="5"/>
    <n v="8"/>
    <n v="7"/>
    <n v="1"/>
    <m/>
    <m/>
    <s v="6-10 Years"/>
    <s v="6-10 Years"/>
    <x v="2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x v="1"/>
    <n v="1"/>
    <n v="0"/>
    <n v="0"/>
    <n v="0"/>
    <n v="1"/>
    <m/>
    <m/>
    <s v="0-2 Years"/>
    <s v="0-2 Years"/>
    <x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x v="1"/>
    <n v="9"/>
    <n v="6"/>
    <n v="0"/>
    <n v="8"/>
    <n v="1"/>
    <m/>
    <m/>
    <s v="6-10 Years"/>
    <s v="0-2 Years"/>
    <x v="1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x v="1"/>
    <n v="1"/>
    <n v="0"/>
    <n v="0"/>
    <n v="1"/>
    <n v="1"/>
    <m/>
    <m/>
    <s v="0-2 Years"/>
    <s v="0-2 Years"/>
    <x v="2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x v="1"/>
    <n v="1"/>
    <n v="0"/>
    <n v="0"/>
    <n v="0"/>
    <n v="1"/>
    <m/>
    <m/>
    <s v="0-2 Years"/>
    <s v="0-2 Years"/>
    <x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x v="2"/>
    <n v="2"/>
    <n v="2"/>
    <n v="2"/>
    <n v="2"/>
    <n v="1"/>
    <m/>
    <m/>
    <s v="0-2 Years"/>
    <s v="0-2 Years"/>
    <x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x v="2"/>
    <n v="4"/>
    <n v="3"/>
    <n v="1"/>
    <n v="3"/>
    <n v="1"/>
    <m/>
    <m/>
    <s v="3-5 Years"/>
    <s v="0-2 Years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x v="1"/>
    <n v="4"/>
    <n v="0"/>
    <n v="2"/>
    <n v="3"/>
    <n v="1"/>
    <m/>
    <m/>
    <s v="3-5 Years"/>
    <s v="0-2 Years"/>
    <x v="2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x v="2"/>
    <n v="2"/>
    <n v="2"/>
    <n v="0"/>
    <n v="0"/>
    <n v="1"/>
    <m/>
    <m/>
    <s v="0-2 Years"/>
    <s v="0-2 Years"/>
    <x v="2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x v="1"/>
    <n v="15"/>
    <n v="14"/>
    <n v="8"/>
    <n v="12"/>
    <n v="1"/>
    <m/>
    <m/>
    <s v="11-15 Years"/>
    <s v="6-10 Years"/>
    <x v="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x v="2"/>
    <n v="9"/>
    <n v="8"/>
    <n v="1"/>
    <n v="8"/>
    <n v="1"/>
    <m/>
    <m/>
    <s v="6-10 Years"/>
    <s v="0-2 Years"/>
    <x v="2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x v="1"/>
    <n v="2"/>
    <n v="2"/>
    <n v="2"/>
    <n v="2"/>
    <n v="1"/>
    <m/>
    <m/>
    <s v="0-2 Years"/>
    <s v="0-2 Years"/>
    <x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x v="2"/>
    <n v="7"/>
    <n v="7"/>
    <n v="1"/>
    <n v="7"/>
    <n v="1"/>
    <m/>
    <m/>
    <s v="6-10 Years"/>
    <s v="0-2 Years"/>
    <x v="2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x v="3"/>
    <n v="7"/>
    <n v="5"/>
    <n v="0"/>
    <n v="7"/>
    <n v="1"/>
    <m/>
    <m/>
    <s v="6-10 Years"/>
    <s v="0-2 Years"/>
    <x v="0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x v="1"/>
    <n v="9"/>
    <n v="8"/>
    <n v="7"/>
    <n v="8"/>
    <n v="1"/>
    <m/>
    <m/>
    <s v="6-10 Years"/>
    <s v="6-10 Years"/>
    <x v="2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x v="1"/>
    <n v="10"/>
    <n v="3"/>
    <n v="9"/>
    <n v="9"/>
    <n v="1"/>
    <m/>
    <m/>
    <s v="6-10 Years"/>
    <s v="6-10 Years"/>
    <x v="0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x v="2"/>
    <n v="27"/>
    <n v="3"/>
    <n v="13"/>
    <n v="8"/>
    <n v="1"/>
    <m/>
    <m/>
    <s v="21+ Years"/>
    <s v="11-15 Years"/>
    <x v="1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x v="2"/>
    <n v="21"/>
    <n v="16"/>
    <n v="7"/>
    <n v="9"/>
    <n v="1"/>
    <m/>
    <m/>
    <s v="21+ Years"/>
    <s v="6-10 Years"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x v="1"/>
    <n v="17"/>
    <n v="14"/>
    <n v="12"/>
    <n v="8"/>
    <n v="1"/>
    <m/>
    <m/>
    <s v="16-20 Years"/>
    <s v="11-15 Years"/>
    <x v="0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x v="1"/>
    <n v="5"/>
    <n v="0"/>
    <n v="0"/>
    <n v="2"/>
    <n v="1"/>
    <m/>
    <m/>
    <s v="3-5 Years"/>
    <s v="0-2 Years"/>
    <x v="1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x v="1"/>
    <n v="6"/>
    <n v="5"/>
    <n v="0"/>
    <n v="3"/>
    <n v="1"/>
    <m/>
    <m/>
    <s v="6-10 Years"/>
    <s v="0-2 Years"/>
    <x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x v="1"/>
    <n v="1"/>
    <n v="0"/>
    <n v="0"/>
    <n v="0"/>
    <n v="1"/>
    <m/>
    <m/>
    <s v="0-2 Years"/>
    <s v="0-2 Years"/>
    <x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x v="2"/>
    <n v="3"/>
    <n v="2"/>
    <n v="1"/>
    <n v="2"/>
    <n v="1"/>
    <m/>
    <m/>
    <s v="3-5 Years"/>
    <s v="0-2 Years"/>
    <x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x v="2"/>
    <n v="1"/>
    <n v="0"/>
    <n v="0"/>
    <n v="0"/>
    <n v="1"/>
    <m/>
    <m/>
    <s v="0-2 Years"/>
    <s v="0-2 Years"/>
    <x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x v="2"/>
    <n v="4"/>
    <n v="3"/>
    <n v="1"/>
    <n v="3"/>
    <n v="1"/>
    <m/>
    <m/>
    <s v="3-5 Years"/>
    <s v="0-2 Years"/>
    <x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x v="1"/>
    <n v="5"/>
    <n v="4"/>
    <n v="0"/>
    <n v="4"/>
    <n v="1"/>
    <m/>
    <m/>
    <s v="3-5 Years"/>
    <s v="0-2 Years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x v="1"/>
    <n v="1"/>
    <n v="1"/>
    <n v="1"/>
    <n v="0"/>
    <n v="1"/>
    <m/>
    <m/>
    <s v="0-2 Years"/>
    <s v="0-2 Years"/>
    <x v="2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x v="1"/>
    <n v="10"/>
    <n v="4"/>
    <n v="0"/>
    <n v="9"/>
    <n v="1"/>
    <m/>
    <m/>
    <s v="6-10 Years"/>
    <s v="0-2 Years"/>
    <x v="2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x v="1"/>
    <n v="1"/>
    <n v="0"/>
    <n v="0"/>
    <n v="0"/>
    <n v="1"/>
    <m/>
    <m/>
    <s v="0-2 Years"/>
    <s v="0-2 Years"/>
    <x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x v="1"/>
    <n v="11"/>
    <n v="7"/>
    <n v="1"/>
    <n v="8"/>
    <n v="1"/>
    <m/>
    <m/>
    <s v="11-15 Years"/>
    <s v="0-2 Years"/>
    <x v="2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x v="1"/>
    <n v="15"/>
    <n v="13"/>
    <n v="2"/>
    <n v="8"/>
    <n v="1"/>
    <m/>
    <m/>
    <s v="11-15 Years"/>
    <s v="0-2 Years"/>
    <x v="2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x v="3"/>
    <n v="0"/>
    <n v="0"/>
    <n v="0"/>
    <n v="0"/>
    <n v="1"/>
    <m/>
    <m/>
    <s v="0-2 Years"/>
    <s v="0-2 Years"/>
    <x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x v="3"/>
    <n v="5"/>
    <n v="2"/>
    <n v="0"/>
    <n v="2"/>
    <n v="1"/>
    <m/>
    <m/>
    <s v="3-5 Years"/>
    <s v="0-2 Years"/>
    <x v="0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x v="1"/>
    <n v="4"/>
    <n v="2"/>
    <n v="0"/>
    <n v="2"/>
    <n v="1"/>
    <m/>
    <m/>
    <s v="3-5 Years"/>
    <s v="0-2 Years"/>
    <x v="1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x v="2"/>
    <n v="10"/>
    <n v="8"/>
    <n v="3"/>
    <n v="0"/>
    <n v="1"/>
    <m/>
    <m/>
    <s v="6-10 Years"/>
    <s v="3-5 Years"/>
    <x v="2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x v="1"/>
    <n v="6"/>
    <n v="4"/>
    <n v="0"/>
    <n v="4"/>
    <n v="1"/>
    <m/>
    <m/>
    <s v="6-10 Years"/>
    <s v="0-2 Years"/>
    <x v="2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x v="1"/>
    <n v="1"/>
    <n v="0"/>
    <n v="1"/>
    <n v="0"/>
    <n v="1"/>
    <m/>
    <m/>
    <s v="0-2 Years"/>
    <s v="0-2 Years"/>
    <x v="1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x v="1"/>
    <n v="13"/>
    <n v="11"/>
    <n v="1"/>
    <n v="9"/>
    <n v="1"/>
    <m/>
    <m/>
    <s v="11-15 Years"/>
    <s v="0-2 Years"/>
    <x v="0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x v="1"/>
    <n v="5"/>
    <n v="2"/>
    <n v="1"/>
    <n v="3"/>
    <n v="1"/>
    <m/>
    <m/>
    <s v="3-5 Years"/>
    <s v="0-2 Years"/>
    <x v="2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x v="2"/>
    <n v="6"/>
    <n v="4"/>
    <n v="0"/>
    <n v="2"/>
    <n v="1"/>
    <m/>
    <m/>
    <s v="6-10 Years"/>
    <s v="0-2 Years"/>
    <x v="3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x v="1"/>
    <n v="0"/>
    <n v="0"/>
    <n v="0"/>
    <n v="0"/>
    <n v="1"/>
    <m/>
    <m/>
    <s v="0-2 Years"/>
    <s v="0-2 Years"/>
    <x v="4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x v="1"/>
    <n v="4"/>
    <n v="2"/>
    <n v="0"/>
    <n v="3"/>
    <n v="1"/>
    <m/>
    <m/>
    <s v="3-5 Years"/>
    <s v="0-2 Years"/>
    <x v="1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x v="1"/>
    <n v="11"/>
    <n v="10"/>
    <n v="10"/>
    <n v="8"/>
    <n v="1"/>
    <m/>
    <m/>
    <s v="11-15 Years"/>
    <s v="6-10 Years"/>
    <x v="2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x v="1"/>
    <n v="9"/>
    <n v="8"/>
    <n v="4"/>
    <n v="7"/>
    <n v="1"/>
    <m/>
    <m/>
    <s v="6-10 Years"/>
    <s v="3-5 Years"/>
    <x v="1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x v="2"/>
    <n v="22"/>
    <n v="3"/>
    <n v="11"/>
    <n v="11"/>
    <n v="1"/>
    <m/>
    <m/>
    <s v="21+ Years"/>
    <s v="11-15 Years"/>
    <x v="0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x v="0"/>
    <n v="10"/>
    <n v="7"/>
    <n v="1"/>
    <n v="0"/>
    <n v="1"/>
    <m/>
    <m/>
    <s v="6-10 Years"/>
    <s v="0-2 Years"/>
    <x v="1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x v="2"/>
    <n v="11"/>
    <n v="8"/>
    <n v="2"/>
    <n v="7"/>
    <n v="1"/>
    <m/>
    <m/>
    <s v="11-15 Years"/>
    <s v="0-2 Years"/>
    <x v="2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x v="2"/>
    <n v="10"/>
    <n v="9"/>
    <n v="9"/>
    <n v="5"/>
    <n v="1"/>
    <m/>
    <m/>
    <s v="6-10 Years"/>
    <s v="6-10 Years"/>
    <x v="1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x v="1"/>
    <n v="11"/>
    <n v="8"/>
    <n v="5"/>
    <n v="7"/>
    <n v="1"/>
    <m/>
    <m/>
    <s v="11-15 Years"/>
    <s v="3-5 Years"/>
    <x v="2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x v="0"/>
    <n v="4"/>
    <n v="3"/>
    <n v="0"/>
    <n v="3"/>
    <n v="1"/>
    <m/>
    <m/>
    <s v="3-5 Years"/>
    <s v="0-2 Years"/>
    <x v="1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x v="2"/>
    <n v="3"/>
    <n v="2"/>
    <n v="0"/>
    <n v="2"/>
    <n v="1"/>
    <m/>
    <m/>
    <s v="3-5 Years"/>
    <s v="0-2 Years"/>
    <x v="4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x v="3"/>
    <n v="5"/>
    <n v="4"/>
    <n v="0"/>
    <n v="4"/>
    <n v="1"/>
    <m/>
    <m/>
    <s v="3-5 Years"/>
    <s v="0-2 Years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x v="2"/>
    <n v="37"/>
    <n v="10"/>
    <n v="1"/>
    <n v="8"/>
    <n v="1"/>
    <m/>
    <m/>
    <s v="21+ Years"/>
    <s v="0-2 Years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x v="3"/>
    <n v="3"/>
    <n v="2"/>
    <n v="1"/>
    <n v="2"/>
    <n v="1"/>
    <m/>
    <m/>
    <s v="3-5 Years"/>
    <s v="0-2 Years"/>
    <x v="0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x v="1"/>
    <n v="3"/>
    <n v="2"/>
    <n v="0"/>
    <n v="2"/>
    <n v="1"/>
    <m/>
    <m/>
    <s v="3-5 Years"/>
    <s v="0-2 Years"/>
    <x v="0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x v="1"/>
    <n v="1"/>
    <n v="0"/>
    <n v="0"/>
    <n v="0"/>
    <n v="1"/>
    <m/>
    <m/>
    <s v="0-2 Years"/>
    <s v="0-2 Years"/>
    <x v="2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x v="1"/>
    <n v="1"/>
    <n v="0"/>
    <n v="1"/>
    <n v="0"/>
    <n v="1"/>
    <m/>
    <m/>
    <s v="0-2 Years"/>
    <s v="0-2 Years"/>
    <x v="4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x v="1"/>
    <n v="16"/>
    <n v="13"/>
    <n v="2"/>
    <n v="10"/>
    <n v="1"/>
    <m/>
    <m/>
    <s v="16-20 Years"/>
    <s v="0-2 Years"/>
    <x v="2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x v="3"/>
    <n v="1"/>
    <n v="0"/>
    <n v="0"/>
    <n v="0"/>
    <n v="1"/>
    <m/>
    <m/>
    <s v="0-2 Years"/>
    <s v="0-2 Years"/>
    <x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x v="1"/>
    <n v="3"/>
    <n v="2"/>
    <n v="2"/>
    <n v="2"/>
    <n v="1"/>
    <m/>
    <m/>
    <s v="3-5 Years"/>
    <s v="0-2 Years"/>
    <x v="3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x v="2"/>
    <n v="8"/>
    <n v="3"/>
    <n v="0"/>
    <n v="7"/>
    <n v="1"/>
    <m/>
    <m/>
    <s v="6-10 Years"/>
    <s v="0-2 Years"/>
    <x v="1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x v="1"/>
    <n v="6"/>
    <n v="4"/>
    <n v="0"/>
    <n v="3"/>
    <n v="1"/>
    <m/>
    <m/>
    <s v="6-10 Years"/>
    <s v="0-2 Years"/>
    <x v="4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x v="1"/>
    <n v="2"/>
    <n v="2"/>
    <n v="2"/>
    <n v="1"/>
    <n v="1"/>
    <m/>
    <m/>
    <s v="0-2 Years"/>
    <s v="0-2 Years"/>
    <x v="4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x v="1"/>
    <n v="0"/>
    <n v="0"/>
    <n v="0"/>
    <n v="0"/>
    <n v="1"/>
    <m/>
    <m/>
    <s v="0-2 Years"/>
    <s v="0-2 Years"/>
    <x v="4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x v="2"/>
    <n v="13"/>
    <n v="12"/>
    <n v="12"/>
    <n v="8"/>
    <n v="1"/>
    <m/>
    <m/>
    <s v="11-15 Years"/>
    <s v="11-15 Years"/>
    <x v="1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x v="1"/>
    <n v="9"/>
    <n v="7"/>
    <n v="0"/>
    <n v="6"/>
    <n v="1"/>
    <m/>
    <m/>
    <s v="6-10 Years"/>
    <s v="0-2 Years"/>
    <x v="2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x v="1"/>
    <n v="5"/>
    <n v="3"/>
    <n v="4"/>
    <n v="4"/>
    <n v="1"/>
    <m/>
    <m/>
    <s v="3-5 Years"/>
    <s v="3-5 Years"/>
    <x v="1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x v="1"/>
    <n v="5"/>
    <n v="3"/>
    <n v="1"/>
    <n v="2"/>
    <n v="1"/>
    <m/>
    <m/>
    <s v="3-5 Years"/>
    <s v="0-2 Years"/>
    <x v="4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x v="1"/>
    <n v="1"/>
    <n v="0"/>
    <n v="0"/>
    <n v="0"/>
    <n v="1"/>
    <m/>
    <m/>
    <s v="0-2 Years"/>
    <s v="0-2 Years"/>
    <x v="2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x v="1"/>
    <n v="5"/>
    <n v="3"/>
    <n v="1"/>
    <n v="3"/>
    <n v="1"/>
    <m/>
    <m/>
    <s v="3-5 Years"/>
    <s v="0-2 Years"/>
    <x v="0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x v="1"/>
    <n v="11"/>
    <n v="10"/>
    <n v="5"/>
    <n v="8"/>
    <n v="1"/>
    <m/>
    <m/>
    <s v="11-15 Years"/>
    <s v="3-5 Years"/>
    <x v="2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x v="1"/>
    <n v="9"/>
    <n v="7"/>
    <n v="2"/>
    <n v="8"/>
    <n v="1"/>
    <m/>
    <m/>
    <s v="6-10 Years"/>
    <s v="0-2 Years"/>
    <x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x v="1"/>
    <n v="1"/>
    <n v="0"/>
    <n v="0"/>
    <n v="0"/>
    <n v="1"/>
    <m/>
    <m/>
    <s v="0-2 Years"/>
    <s v="0-2 Years"/>
    <x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x v="3"/>
    <n v="25"/>
    <n v="12"/>
    <n v="4"/>
    <n v="12"/>
    <n v="1"/>
    <m/>
    <m/>
    <s v="21+ Years"/>
    <s v="3-5 Years"/>
    <x v="0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x v="2"/>
    <n v="10"/>
    <n v="7"/>
    <n v="0"/>
    <n v="9"/>
    <n v="1"/>
    <m/>
    <m/>
    <s v="6-10 Years"/>
    <s v="0-2 Years"/>
    <x v="2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x v="3"/>
    <n v="7"/>
    <n v="7"/>
    <n v="0"/>
    <n v="7"/>
    <n v="1"/>
    <m/>
    <m/>
    <s v="6-10 Years"/>
    <s v="0-2 Years"/>
    <x v="2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x v="1"/>
    <n v="5"/>
    <n v="4"/>
    <n v="4"/>
    <n v="3"/>
    <n v="1"/>
    <m/>
    <m/>
    <s v="3-5 Years"/>
    <s v="3-5 Years"/>
    <x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x v="1"/>
    <n v="20"/>
    <n v="18"/>
    <n v="15"/>
    <n v="15"/>
    <n v="1"/>
    <m/>
    <m/>
    <s v="16-20 Years"/>
    <s v="11-15 Years"/>
    <x v="1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x v="2"/>
    <n v="7"/>
    <n v="7"/>
    <n v="7"/>
    <n v="7"/>
    <n v="1"/>
    <m/>
    <m/>
    <s v="6-10 Years"/>
    <s v="6-10 Years"/>
    <x v="2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x v="2"/>
    <n v="5"/>
    <n v="4"/>
    <n v="4"/>
    <n v="3"/>
    <n v="1"/>
    <m/>
    <m/>
    <s v="3-5 Years"/>
    <s v="3-5 Years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x v="2"/>
    <n v="40"/>
    <n v="10"/>
    <n v="15"/>
    <n v="6"/>
    <n v="1"/>
    <m/>
    <m/>
    <s v="21+ Years"/>
    <s v="11-15 Years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x v="2"/>
    <n v="0"/>
    <n v="0"/>
    <n v="0"/>
    <n v="0"/>
    <n v="1"/>
    <m/>
    <m/>
    <s v="0-2 Years"/>
    <s v="0-2 Years"/>
    <x v="4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x v="1"/>
    <n v="2"/>
    <n v="1"/>
    <n v="2"/>
    <n v="1"/>
    <n v="1"/>
    <m/>
    <m/>
    <s v="0-2 Years"/>
    <s v="0-2 Years"/>
    <x v="4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x v="2"/>
    <n v="15"/>
    <n v="11"/>
    <n v="5"/>
    <n v="11"/>
    <n v="1"/>
    <m/>
    <m/>
    <s v="11-15 Years"/>
    <s v="3-5 Years"/>
    <x v="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x v="1"/>
    <n v="3"/>
    <n v="2"/>
    <n v="1"/>
    <n v="2"/>
    <n v="1"/>
    <m/>
    <m/>
    <s v="3-5 Years"/>
    <s v="0-2 Years"/>
    <x v="0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x v="1"/>
    <n v="2"/>
    <n v="2"/>
    <n v="2"/>
    <n v="1"/>
    <n v="1"/>
    <m/>
    <m/>
    <s v="0-2 Years"/>
    <s v="0-2 Years"/>
    <x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x v="1"/>
    <n v="2"/>
    <n v="2"/>
    <n v="2"/>
    <n v="2"/>
    <n v="1"/>
    <m/>
    <m/>
    <s v="0-2 Years"/>
    <s v="0-2 Years"/>
    <x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x v="1"/>
    <n v="9"/>
    <n v="7"/>
    <n v="0"/>
    <n v="7"/>
    <n v="1"/>
    <m/>
    <m/>
    <s v="6-10 Years"/>
    <s v="0-2 Years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x v="1"/>
    <n v="8"/>
    <n v="7"/>
    <n v="5"/>
    <n v="7"/>
    <n v="1"/>
    <m/>
    <m/>
    <s v="6-10 Years"/>
    <s v="3-5 Years"/>
    <x v="2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x v="1"/>
    <n v="3"/>
    <n v="2"/>
    <n v="0"/>
    <n v="1"/>
    <n v="1"/>
    <m/>
    <m/>
    <s v="3-5 Years"/>
    <s v="0-2 Years"/>
    <x v="0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x v="1"/>
    <n v="4"/>
    <n v="2"/>
    <n v="0"/>
    <n v="3"/>
    <n v="1"/>
    <m/>
    <m/>
    <s v="3-5 Years"/>
    <s v="0-2 Years"/>
    <x v="1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x v="3"/>
    <n v="15"/>
    <n v="11"/>
    <n v="5"/>
    <n v="9"/>
    <n v="1"/>
    <m/>
    <m/>
    <s v="11-15 Years"/>
    <s v="3-5 Years"/>
    <x v="0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x v="1"/>
    <n v="2"/>
    <n v="2"/>
    <n v="2"/>
    <n v="2"/>
    <n v="1"/>
    <m/>
    <m/>
    <s v="0-2 Years"/>
    <s v="0-2 Years"/>
    <x v="4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x v="0"/>
    <n v="11"/>
    <n v="9"/>
    <n v="4"/>
    <n v="7"/>
    <n v="1"/>
    <m/>
    <m/>
    <s v="11-15 Years"/>
    <s v="3-5 Years"/>
    <x v="2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x v="3"/>
    <n v="5"/>
    <n v="4"/>
    <n v="0"/>
    <n v="4"/>
    <n v="1"/>
    <m/>
    <m/>
    <s v="3-5 Years"/>
    <s v="0-2 Years"/>
    <x v="2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x v="2"/>
    <n v="6"/>
    <n v="5"/>
    <n v="0"/>
    <n v="3"/>
    <n v="1"/>
    <m/>
    <m/>
    <s v="6-10 Years"/>
    <s v="0-2 Years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x v="1"/>
    <n v="3"/>
    <n v="2"/>
    <n v="2"/>
    <n v="2"/>
    <n v="1"/>
    <m/>
    <m/>
    <s v="3-5 Years"/>
    <s v="0-2 Years"/>
    <x v="0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x v="2"/>
    <n v="5"/>
    <n v="4"/>
    <n v="0"/>
    <n v="4"/>
    <n v="1"/>
    <m/>
    <m/>
    <s v="3-5 Years"/>
    <s v="0-2 Years"/>
    <x v="2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x v="3"/>
    <n v="8"/>
    <n v="7"/>
    <n v="0"/>
    <n v="7"/>
    <n v="1"/>
    <m/>
    <m/>
    <s v="6-10 Years"/>
    <s v="0-2 Years"/>
    <x v="2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x v="1"/>
    <n v="3"/>
    <n v="2"/>
    <n v="2"/>
    <n v="2"/>
    <n v="1"/>
    <m/>
    <m/>
    <s v="3-5 Years"/>
    <s v="0-2 Years"/>
    <x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x v="1"/>
    <n v="5"/>
    <n v="3"/>
    <n v="1"/>
    <n v="2"/>
    <n v="1"/>
    <m/>
    <m/>
    <s v="3-5 Years"/>
    <s v="0-2 Years"/>
    <x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x v="2"/>
    <n v="7"/>
    <n v="6"/>
    <n v="7"/>
    <n v="7"/>
    <n v="1"/>
    <m/>
    <m/>
    <s v="6-10 Years"/>
    <s v="6-10 Years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x v="1"/>
    <n v="5"/>
    <n v="0"/>
    <n v="1"/>
    <n v="4"/>
    <n v="1"/>
    <m/>
    <m/>
    <s v="3-5 Years"/>
    <s v="0-2 Years"/>
    <x v="0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x v="1"/>
    <n v="1"/>
    <n v="0"/>
    <n v="0"/>
    <n v="0"/>
    <n v="1"/>
    <m/>
    <m/>
    <s v="0-2 Years"/>
    <s v="0-2 Years"/>
    <x v="4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x v="1"/>
    <n v="20"/>
    <n v="7"/>
    <n v="2"/>
    <n v="13"/>
    <n v="1"/>
    <m/>
    <m/>
    <s v="16-20 Years"/>
    <s v="0-2 Years"/>
    <x v="0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x v="1"/>
    <n v="10"/>
    <n v="8"/>
    <n v="0"/>
    <n v="6"/>
    <n v="1"/>
    <m/>
    <m/>
    <s v="6-10 Years"/>
    <s v="0-2 Years"/>
    <x v="2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x v="0"/>
    <n v="7"/>
    <n v="7"/>
    <n v="4"/>
    <n v="5"/>
    <n v="1"/>
    <m/>
    <m/>
    <s v="6-10 Years"/>
    <s v="3-5 Years"/>
    <x v="1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x v="0"/>
    <n v="17"/>
    <n v="9"/>
    <n v="0"/>
    <n v="15"/>
    <n v="1"/>
    <m/>
    <m/>
    <s v="16-20 Years"/>
    <s v="0-2 Years"/>
    <x v="0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x v="1"/>
    <n v="9"/>
    <n v="8"/>
    <n v="3"/>
    <n v="7"/>
    <n v="1"/>
    <m/>
    <m/>
    <s v="6-10 Years"/>
    <s v="3-5 Years"/>
    <x v="2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x v="1"/>
    <n v="10"/>
    <n v="7"/>
    <n v="0"/>
    <n v="9"/>
    <n v="1"/>
    <m/>
    <m/>
    <s v="6-10 Years"/>
    <s v="0-2 Years"/>
    <x v="2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x v="1"/>
    <n v="1"/>
    <n v="0"/>
    <n v="0"/>
    <n v="0"/>
    <n v="1"/>
    <m/>
    <m/>
    <s v="0-2 Years"/>
    <s v="0-2 Years"/>
    <x v="1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x v="2"/>
    <n v="1"/>
    <n v="0"/>
    <n v="0"/>
    <n v="0"/>
    <n v="1"/>
    <m/>
    <m/>
    <s v="0-2 Years"/>
    <s v="0-2 Years"/>
    <x v="3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x v="2"/>
    <n v="12"/>
    <n v="11"/>
    <n v="2"/>
    <n v="11"/>
    <n v="1"/>
    <m/>
    <m/>
    <s v="11-15 Years"/>
    <s v="0-2 Years"/>
    <x v="0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x v="1"/>
    <n v="4"/>
    <n v="3"/>
    <n v="1"/>
    <n v="2"/>
    <n v="1"/>
    <m/>
    <m/>
    <s v="3-5 Years"/>
    <s v="0-2 Years"/>
    <x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x v="1"/>
    <n v="2"/>
    <n v="2"/>
    <n v="2"/>
    <n v="2"/>
    <n v="1"/>
    <m/>
    <m/>
    <s v="0-2 Years"/>
    <s v="0-2 Years"/>
    <x v="4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x v="0"/>
    <n v="2"/>
    <n v="2"/>
    <n v="2"/>
    <n v="2"/>
    <n v="1"/>
    <m/>
    <m/>
    <s v="0-2 Years"/>
    <s v="0-2 Years"/>
    <x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x v="0"/>
    <n v="5"/>
    <n v="2"/>
    <n v="0"/>
    <n v="2"/>
    <n v="1"/>
    <m/>
    <m/>
    <s v="3-5 Years"/>
    <s v="0-2 Years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x v="0"/>
    <n v="5"/>
    <n v="3"/>
    <n v="1"/>
    <n v="4"/>
    <n v="1"/>
    <m/>
    <m/>
    <s v="3-5 Years"/>
    <s v="0-2 Years"/>
    <x v="3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x v="2"/>
    <n v="1"/>
    <n v="1"/>
    <n v="0"/>
    <n v="1"/>
    <n v="1"/>
    <m/>
    <m/>
    <s v="0-2 Years"/>
    <s v="0-2 Years"/>
    <x v="2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x v="1"/>
    <n v="5"/>
    <n v="4"/>
    <n v="4"/>
    <n v="4"/>
    <n v="1"/>
    <m/>
    <m/>
    <s v="3-5 Years"/>
    <s v="3-5 Years"/>
    <x v="1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x v="1"/>
    <n v="9"/>
    <n v="8"/>
    <n v="1"/>
    <n v="8"/>
    <n v="1"/>
    <m/>
    <m/>
    <s v="6-10 Years"/>
    <s v="0-2 Years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x v="1"/>
    <n v="10"/>
    <n v="9"/>
    <n v="7"/>
    <n v="4"/>
    <n v="1"/>
    <m/>
    <m/>
    <s v="6-10 Years"/>
    <s v="6-10 Years"/>
    <x v="2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x v="3"/>
    <n v="8"/>
    <n v="3"/>
    <n v="0"/>
    <n v="7"/>
    <n v="1"/>
    <m/>
    <m/>
    <s v="6-10 Years"/>
    <s v="0-2 Years"/>
    <x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x v="1"/>
    <n v="5"/>
    <n v="4"/>
    <n v="1"/>
    <n v="4"/>
    <n v="1"/>
    <m/>
    <m/>
    <s v="3-5 Years"/>
    <s v="0-2 Years"/>
    <x v="2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x v="2"/>
    <n v="5"/>
    <n v="2"/>
    <n v="1"/>
    <n v="1"/>
    <n v="1"/>
    <m/>
    <m/>
    <s v="3-5 Years"/>
    <s v="0-2 Years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x v="3"/>
    <n v="0"/>
    <n v="0"/>
    <n v="0"/>
    <n v="0"/>
    <n v="1"/>
    <m/>
    <m/>
    <s v="0-2 Years"/>
    <s v="0-2 Years"/>
    <x v="4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x v="2"/>
    <n v="8"/>
    <n v="7"/>
    <n v="7"/>
    <n v="2"/>
    <n v="1"/>
    <m/>
    <m/>
    <s v="6-10 Years"/>
    <s v="6-10 Years"/>
    <x v="0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x v="1"/>
    <n v="12"/>
    <n v="9"/>
    <n v="6"/>
    <n v="10"/>
    <n v="1"/>
    <m/>
    <m/>
    <s v="11-15 Years"/>
    <s v="6-10 Years"/>
    <x v="2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x v="3"/>
    <n v="5"/>
    <n v="4"/>
    <n v="0"/>
    <n v="3"/>
    <n v="1"/>
    <m/>
    <m/>
    <s v="3-5 Years"/>
    <s v="0-2 Years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x v="1"/>
    <n v="2"/>
    <n v="2"/>
    <n v="2"/>
    <n v="2"/>
    <n v="1"/>
    <m/>
    <m/>
    <s v="0-2 Years"/>
    <s v="0-2 Years"/>
    <x v="3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x v="3"/>
    <n v="3"/>
    <n v="1"/>
    <n v="0"/>
    <n v="2"/>
    <n v="1"/>
    <m/>
    <m/>
    <s v="3-5 Years"/>
    <s v="0-2 Years"/>
    <x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x v="2"/>
    <n v="1"/>
    <n v="0"/>
    <n v="1"/>
    <n v="0"/>
    <n v="1"/>
    <m/>
    <m/>
    <s v="0-2 Years"/>
    <s v="0-2 Years"/>
    <x v="4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x v="1"/>
    <n v="24"/>
    <n v="13"/>
    <n v="15"/>
    <n v="7"/>
    <n v="1"/>
    <m/>
    <m/>
    <s v="21+ Years"/>
    <s v="11-15 Years"/>
    <x v="1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x v="1"/>
    <n v="2"/>
    <n v="2"/>
    <n v="2"/>
    <n v="1"/>
    <n v="1"/>
    <m/>
    <m/>
    <s v="0-2 Years"/>
    <s v="0-2 Years"/>
    <x v="0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x v="1"/>
    <n v="4"/>
    <n v="2"/>
    <n v="0"/>
    <n v="2"/>
    <n v="1"/>
    <m/>
    <m/>
    <s v="3-5 Years"/>
    <s v="0-2 Years"/>
    <x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x v="1"/>
    <n v="3"/>
    <n v="2"/>
    <n v="1"/>
    <n v="2"/>
    <n v="1"/>
    <m/>
    <m/>
    <s v="3-5 Years"/>
    <s v="0-2 Years"/>
    <x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x v="2"/>
    <n v="4"/>
    <n v="3"/>
    <n v="0"/>
    <n v="2"/>
    <n v="1"/>
    <m/>
    <m/>
    <s v="3-5 Years"/>
    <s v="0-2 Years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x v="2"/>
    <n v="3"/>
    <n v="2"/>
    <n v="0"/>
    <n v="2"/>
    <n v="1"/>
    <m/>
    <m/>
    <s v="3-5 Years"/>
    <s v="0-2 Years"/>
    <x v="1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x v="1"/>
    <n v="4"/>
    <n v="2"/>
    <n v="1"/>
    <n v="3"/>
    <n v="1"/>
    <m/>
    <m/>
    <s v="3-5 Years"/>
    <s v="0-2 Years"/>
    <x v="1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x v="1"/>
    <n v="8"/>
    <n v="7"/>
    <n v="1"/>
    <n v="6"/>
    <n v="1"/>
    <m/>
    <m/>
    <s v="6-10 Years"/>
    <s v="0-2 Years"/>
    <x v="2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x v="1"/>
    <n v="20"/>
    <n v="8"/>
    <n v="9"/>
    <n v="9"/>
    <n v="1"/>
    <m/>
    <m/>
    <s v="16-20 Years"/>
    <s v="6-10 Years"/>
    <x v="0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x v="1"/>
    <n v="24"/>
    <n v="15"/>
    <n v="2"/>
    <n v="15"/>
    <n v="1"/>
    <m/>
    <m/>
    <s v="21+ Years"/>
    <s v="0-2 Years"/>
    <x v="1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x v="2"/>
    <n v="10"/>
    <n v="9"/>
    <n v="1"/>
    <n v="9"/>
    <n v="1"/>
    <m/>
    <m/>
    <s v="6-10 Years"/>
    <s v="0-2 Years"/>
    <x v="2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x v="1"/>
    <n v="7"/>
    <n v="7"/>
    <n v="1"/>
    <n v="0"/>
    <n v="1"/>
    <m/>
    <m/>
    <s v="6-10 Years"/>
    <s v="0-2 Years"/>
    <x v="1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x v="1"/>
    <n v="33"/>
    <n v="18"/>
    <n v="11"/>
    <n v="9"/>
    <n v="1"/>
    <m/>
    <m/>
    <s v="21+ Years"/>
    <s v="11-15 Years"/>
    <x v="1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x v="2"/>
    <n v="7"/>
    <n v="7"/>
    <n v="0"/>
    <n v="3"/>
    <n v="1"/>
    <m/>
    <m/>
    <s v="6-10 Years"/>
    <s v="0-2 Years"/>
    <x v="2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x v="1"/>
    <n v="1"/>
    <n v="0"/>
    <n v="0"/>
    <n v="1"/>
    <n v="1"/>
    <m/>
    <m/>
    <s v="0-2 Years"/>
    <s v="0-2 Years"/>
    <x v="2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x v="3"/>
    <n v="5"/>
    <n v="4"/>
    <n v="2"/>
    <n v="2"/>
    <n v="1"/>
    <m/>
    <m/>
    <s v="3-5 Years"/>
    <s v="0-2 Years"/>
    <x v="0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x v="1"/>
    <n v="20"/>
    <n v="8"/>
    <n v="11"/>
    <n v="8"/>
    <n v="1"/>
    <m/>
    <m/>
    <s v="16-20 Years"/>
    <s v="11-15 Years"/>
    <x v="0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x v="2"/>
    <n v="8"/>
    <n v="7"/>
    <n v="1"/>
    <n v="7"/>
    <n v="1"/>
    <m/>
    <m/>
    <s v="6-10 Years"/>
    <s v="0-2 Years"/>
    <x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x v="1"/>
    <n v="6"/>
    <n v="2"/>
    <n v="1"/>
    <n v="2"/>
    <n v="1"/>
    <m/>
    <m/>
    <s v="6-10 Years"/>
    <s v="0-2 Years"/>
    <x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x v="1"/>
    <n v="5"/>
    <n v="3"/>
    <n v="0"/>
    <n v="2"/>
    <n v="1"/>
    <m/>
    <m/>
    <s v="3-5 Years"/>
    <s v="0-2 Years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x v="1"/>
    <n v="1"/>
    <n v="0"/>
    <n v="0"/>
    <n v="0"/>
    <n v="1"/>
    <m/>
    <m/>
    <s v="0-2 Years"/>
    <s v="0-2 Years"/>
    <x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x v="0"/>
    <n v="7"/>
    <n v="7"/>
    <n v="1"/>
    <n v="7"/>
    <n v="1"/>
    <m/>
    <m/>
    <s v="6-10 Years"/>
    <s v="0-2 Years"/>
    <x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x v="1"/>
    <n v="2"/>
    <n v="2"/>
    <n v="2"/>
    <n v="0"/>
    <n v="1"/>
    <m/>
    <m/>
    <s v="0-2 Years"/>
    <s v="0-2 Years"/>
    <x v="2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x v="1"/>
    <n v="7"/>
    <n v="7"/>
    <n v="1"/>
    <n v="7"/>
    <n v="1"/>
    <m/>
    <m/>
    <s v="6-10 Years"/>
    <s v="0-2 Years"/>
    <x v="1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x v="3"/>
    <n v="5"/>
    <n v="3"/>
    <n v="2"/>
    <n v="0"/>
    <n v="1"/>
    <m/>
    <m/>
    <s v="3-5 Years"/>
    <s v="0-2 Years"/>
    <x v="2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x v="3"/>
    <n v="7"/>
    <n v="2"/>
    <n v="3"/>
    <n v="7"/>
    <n v="1"/>
    <m/>
    <m/>
    <s v="6-10 Years"/>
    <s v="3-5 Years"/>
    <x v="0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x v="1"/>
    <n v="1"/>
    <n v="0"/>
    <n v="0"/>
    <n v="0"/>
    <n v="1"/>
    <m/>
    <m/>
    <s v="0-2 Years"/>
    <s v="0-2 Years"/>
    <x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x v="2"/>
    <n v="10"/>
    <n v="4"/>
    <n v="1"/>
    <n v="9"/>
    <n v="1"/>
    <m/>
    <m/>
    <s v="6-10 Years"/>
    <s v="0-2 Years"/>
    <x v="2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x v="2"/>
    <n v="4"/>
    <n v="2"/>
    <n v="2"/>
    <n v="2"/>
    <n v="1"/>
    <m/>
    <m/>
    <s v="3-5 Years"/>
    <s v="0-2 Years"/>
    <x v="4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x v="1"/>
    <n v="8"/>
    <n v="1"/>
    <n v="1"/>
    <n v="7"/>
    <n v="1"/>
    <m/>
    <m/>
    <s v="6-10 Years"/>
    <s v="0-2 Years"/>
    <x v="0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x v="0"/>
    <n v="3"/>
    <n v="2"/>
    <n v="0"/>
    <n v="2"/>
    <n v="1"/>
    <m/>
    <m/>
    <s v="3-5 Years"/>
    <s v="0-2 Years"/>
    <x v="0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x v="1"/>
    <n v="4"/>
    <n v="2"/>
    <n v="0"/>
    <n v="3"/>
    <n v="1"/>
    <m/>
    <m/>
    <s v="3-5 Years"/>
    <s v="0-2 Years"/>
    <x v="1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x v="2"/>
    <n v="14"/>
    <n v="8"/>
    <n v="9"/>
    <n v="8"/>
    <n v="1"/>
    <m/>
    <m/>
    <s v="11-15 Years"/>
    <s v="6-10 Years"/>
    <x v="2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x v="1"/>
    <n v="11"/>
    <n v="8"/>
    <n v="5"/>
    <n v="8"/>
    <n v="1"/>
    <m/>
    <m/>
    <s v="11-15 Years"/>
    <s v="3-5 Years"/>
    <x v="2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x v="1"/>
    <n v="7"/>
    <n v="7"/>
    <n v="0"/>
    <n v="7"/>
    <n v="1"/>
    <m/>
    <m/>
    <s v="6-10 Years"/>
    <s v="0-2 Years"/>
    <x v="2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x v="0"/>
    <n v="10"/>
    <n v="9"/>
    <n v="4"/>
    <n v="7"/>
    <n v="1"/>
    <m/>
    <m/>
    <s v="6-10 Years"/>
    <s v="3-5 Years"/>
    <x v="1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x v="1"/>
    <n v="5"/>
    <n v="2"/>
    <n v="0"/>
    <n v="4"/>
    <n v="1"/>
    <m/>
    <m/>
    <s v="3-5 Years"/>
    <s v="0-2 Years"/>
    <x v="2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x v="1"/>
    <n v="1"/>
    <n v="0"/>
    <n v="0"/>
    <n v="0"/>
    <n v="1"/>
    <m/>
    <m/>
    <s v="0-2 Years"/>
    <s v="0-2 Years"/>
    <x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x v="2"/>
    <n v="6"/>
    <n v="3"/>
    <n v="0"/>
    <n v="1"/>
    <n v="1"/>
    <m/>
    <m/>
    <s v="6-10 Years"/>
    <s v="0-2 Years"/>
    <x v="2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x v="2"/>
    <n v="6"/>
    <n v="2"/>
    <n v="1"/>
    <n v="5"/>
    <n v="1"/>
    <m/>
    <m/>
    <s v="6-10 Years"/>
    <s v="0-2 Years"/>
    <x v="2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x v="1"/>
    <n v="19"/>
    <n v="7"/>
    <n v="12"/>
    <n v="8"/>
    <n v="1"/>
    <m/>
    <m/>
    <s v="16-20 Years"/>
    <s v="11-15 Years"/>
    <x v="0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x v="1"/>
    <n v="6"/>
    <n v="2"/>
    <n v="0"/>
    <n v="5"/>
    <n v="1"/>
    <m/>
    <m/>
    <s v="6-10 Years"/>
    <s v="0-2 Years"/>
    <x v="1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x v="3"/>
    <n v="13"/>
    <n v="11"/>
    <n v="3"/>
    <n v="7"/>
    <n v="1"/>
    <m/>
    <m/>
    <s v="11-15 Years"/>
    <s v="3-5 Years"/>
    <x v="0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x v="1"/>
    <n v="3"/>
    <n v="2"/>
    <n v="1"/>
    <n v="1"/>
    <n v="1"/>
    <m/>
    <m/>
    <s v="3-5 Years"/>
    <s v="0-2 Years"/>
    <x v="2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x v="1"/>
    <n v="10"/>
    <n v="8"/>
    <n v="0"/>
    <n v="7"/>
    <n v="1"/>
    <m/>
    <m/>
    <s v="6-10 Years"/>
    <s v="0-2 Years"/>
    <x v="0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x v="2"/>
    <n v="16"/>
    <n v="10"/>
    <n v="5"/>
    <n v="13"/>
    <n v="1"/>
    <m/>
    <m/>
    <s v="16-20 Years"/>
    <s v="3-5 Years"/>
    <x v="0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x v="1"/>
    <n v="5"/>
    <n v="4"/>
    <n v="1"/>
    <n v="4"/>
    <n v="1"/>
    <m/>
    <m/>
    <s v="3-5 Years"/>
    <s v="0-2 Years"/>
    <x v="2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x v="1"/>
    <n v="1"/>
    <n v="0"/>
    <n v="0"/>
    <n v="0"/>
    <n v="1"/>
    <m/>
    <m/>
    <s v="0-2 Years"/>
    <s v="0-2 Years"/>
    <x v="3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x v="1"/>
    <n v="9"/>
    <n v="8"/>
    <n v="5"/>
    <n v="8"/>
    <n v="1"/>
    <m/>
    <m/>
    <s v="6-10 Years"/>
    <s v="3-5 Years"/>
    <x v="0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x v="1"/>
    <n v="11"/>
    <n v="10"/>
    <n v="4"/>
    <n v="1"/>
    <n v="1"/>
    <m/>
    <m/>
    <s v="11-15 Years"/>
    <s v="3-5 Years"/>
    <x v="2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x v="3"/>
    <n v="10"/>
    <n v="7"/>
    <n v="0"/>
    <n v="8"/>
    <n v="1"/>
    <m/>
    <m/>
    <s v="6-10 Years"/>
    <s v="0-2 Years"/>
    <x v="2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x v="2"/>
    <n v="4"/>
    <n v="3"/>
    <n v="0"/>
    <n v="1"/>
    <n v="1"/>
    <m/>
    <m/>
    <s v="3-5 Years"/>
    <s v="0-2 Years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x v="2"/>
    <n v="2"/>
    <n v="2"/>
    <n v="2"/>
    <n v="2"/>
    <n v="1"/>
    <m/>
    <m/>
    <s v="0-2 Years"/>
    <s v="0-2 Years"/>
    <x v="1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x v="1"/>
    <n v="22"/>
    <n v="17"/>
    <n v="11"/>
    <n v="15"/>
    <n v="1"/>
    <m/>
    <m/>
    <s v="21+ Years"/>
    <s v="11-15 Years"/>
    <x v="0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x v="2"/>
    <n v="2"/>
    <n v="2"/>
    <n v="2"/>
    <n v="2"/>
    <n v="1"/>
    <m/>
    <m/>
    <s v="0-2 Years"/>
    <s v="0-2 Years"/>
    <x v="3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x v="2"/>
    <n v="7"/>
    <n v="0"/>
    <n v="0"/>
    <n v="6"/>
    <n v="1"/>
    <m/>
    <m/>
    <s v="6-10 Years"/>
    <s v="0-2 Years"/>
    <x v="1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x v="0"/>
    <n v="5"/>
    <n v="4"/>
    <n v="0"/>
    <n v="4"/>
    <n v="1"/>
    <m/>
    <m/>
    <s v="3-5 Years"/>
    <s v="0-2 Years"/>
    <x v="2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x v="1"/>
    <n v="17"/>
    <n v="13"/>
    <n v="1"/>
    <n v="9"/>
    <n v="1"/>
    <m/>
    <m/>
    <s v="16-20 Years"/>
    <s v="0-2 Years"/>
    <x v="0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x v="3"/>
    <n v="9"/>
    <n v="7"/>
    <n v="1"/>
    <n v="7"/>
    <n v="1"/>
    <m/>
    <m/>
    <s v="6-10 Years"/>
    <s v="0-2 Years"/>
    <x v="2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x v="3"/>
    <n v="33"/>
    <n v="7"/>
    <n v="15"/>
    <n v="12"/>
    <n v="1"/>
    <m/>
    <m/>
    <s v="21+ Years"/>
    <s v="11-15 Years"/>
    <x v="1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x v="1"/>
    <n v="4"/>
    <n v="3"/>
    <n v="1"/>
    <n v="2"/>
    <n v="1"/>
    <m/>
    <m/>
    <s v="3-5 Years"/>
    <s v="0-2 Years"/>
    <x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x v="0"/>
    <n v="3"/>
    <n v="2"/>
    <n v="1"/>
    <n v="2"/>
    <n v="1"/>
    <m/>
    <m/>
    <s v="3-5 Years"/>
    <s v="0-2 Years"/>
    <x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x v="1"/>
    <n v="3"/>
    <n v="2"/>
    <n v="1"/>
    <n v="2"/>
    <n v="1"/>
    <m/>
    <m/>
    <s v="3-5 Years"/>
    <s v="0-2 Years"/>
    <x v="0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x v="1"/>
    <n v="3"/>
    <n v="2"/>
    <n v="2"/>
    <n v="2"/>
    <n v="1"/>
    <m/>
    <m/>
    <s v="3-5 Years"/>
    <s v="0-2 Years"/>
    <x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x v="2"/>
    <n v="1"/>
    <n v="0"/>
    <n v="0"/>
    <n v="0"/>
    <n v="1"/>
    <m/>
    <m/>
    <s v="0-2 Years"/>
    <s v="0-2 Years"/>
    <x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x v="1"/>
    <n v="9"/>
    <n v="8"/>
    <n v="4"/>
    <n v="7"/>
    <n v="1"/>
    <m/>
    <m/>
    <s v="6-10 Years"/>
    <s v="3-5 Years"/>
    <x v="0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x v="1"/>
    <n v="24"/>
    <n v="0"/>
    <n v="1"/>
    <n v="7"/>
    <n v="1"/>
    <m/>
    <m/>
    <s v="21+ Years"/>
    <s v="0-2 Years"/>
    <x v="0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x v="1"/>
    <n v="2"/>
    <n v="2"/>
    <n v="2"/>
    <n v="2"/>
    <n v="1"/>
    <m/>
    <m/>
    <s v="0-2 Years"/>
    <s v="0-2 Years"/>
    <x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x v="2"/>
    <n v="2"/>
    <n v="2"/>
    <n v="0"/>
    <n v="2"/>
    <n v="1"/>
    <m/>
    <m/>
    <s v="0-2 Years"/>
    <s v="0-2 Years"/>
    <x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x v="1"/>
    <n v="11"/>
    <n v="9"/>
    <n v="5"/>
    <n v="9"/>
    <n v="1"/>
    <m/>
    <m/>
    <s v="11-15 Years"/>
    <s v="3-5 Years"/>
    <x v="2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x v="2"/>
    <n v="3"/>
    <n v="1"/>
    <n v="0"/>
    <n v="2"/>
    <n v="1"/>
    <m/>
    <m/>
    <s v="3-5 Years"/>
    <s v="0-2 Years"/>
    <x v="0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x v="1"/>
    <n v="3"/>
    <n v="2"/>
    <n v="0"/>
    <n v="2"/>
    <n v="1"/>
    <m/>
    <m/>
    <s v="3-5 Years"/>
    <s v="0-2 Years"/>
    <x v="0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x v="1"/>
    <n v="1"/>
    <n v="0"/>
    <n v="0"/>
    <n v="0"/>
    <n v="1"/>
    <m/>
    <m/>
    <s v="0-2 Years"/>
    <s v="0-2 Years"/>
    <x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x v="1"/>
    <n v="19"/>
    <n v="6"/>
    <n v="11"/>
    <n v="8"/>
    <n v="1"/>
    <m/>
    <m/>
    <s v="16-20 Years"/>
    <s v="11-15 Years"/>
    <x v="0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x v="1"/>
    <n v="6"/>
    <n v="5"/>
    <n v="1"/>
    <n v="5"/>
    <n v="1"/>
    <m/>
    <m/>
    <s v="6-10 Years"/>
    <s v="0-2 Years"/>
    <x v="2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x v="1"/>
    <n v="3"/>
    <n v="2"/>
    <n v="0"/>
    <n v="2"/>
    <n v="1"/>
    <m/>
    <m/>
    <s v="3-5 Years"/>
    <s v="0-2 Years"/>
    <x v="0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x v="1"/>
    <n v="3"/>
    <n v="2"/>
    <n v="0"/>
    <n v="2"/>
    <n v="1"/>
    <m/>
    <m/>
    <s v="3-5 Years"/>
    <s v="0-2 Years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x v="1"/>
    <n v="4"/>
    <n v="2"/>
    <n v="1"/>
    <n v="2"/>
    <n v="1"/>
    <m/>
    <m/>
    <s v="3-5 Years"/>
    <s v="0-2 Years"/>
    <x v="4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x v="1"/>
    <n v="9"/>
    <n v="6"/>
    <n v="7"/>
    <n v="8"/>
    <n v="1"/>
    <m/>
    <m/>
    <s v="6-10 Years"/>
    <s v="6-10 Years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x v="1"/>
    <n v="21"/>
    <n v="7"/>
    <n v="3"/>
    <n v="9"/>
    <n v="1"/>
    <m/>
    <m/>
    <s v="21+ Years"/>
    <s v="3-5 Years"/>
    <x v="0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x v="2"/>
    <n v="1"/>
    <n v="0"/>
    <n v="0"/>
    <n v="0"/>
    <n v="1"/>
    <m/>
    <m/>
    <s v="0-2 Years"/>
    <s v="0-2 Years"/>
    <x v="1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x v="3"/>
    <n v="5"/>
    <n v="4"/>
    <n v="1"/>
    <n v="4"/>
    <n v="1"/>
    <m/>
    <m/>
    <s v="3-5 Years"/>
    <s v="0-2 Years"/>
    <x v="2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x v="0"/>
    <n v="5"/>
    <n v="1"/>
    <n v="0"/>
    <n v="3"/>
    <n v="1"/>
    <m/>
    <m/>
    <s v="3-5 Years"/>
    <s v="0-2 Years"/>
    <x v="2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x v="1"/>
    <n v="8"/>
    <n v="7"/>
    <n v="7"/>
    <n v="5"/>
    <n v="1"/>
    <m/>
    <m/>
    <s v="6-10 Years"/>
    <s v="6-10 Years"/>
    <x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x v="1"/>
    <n v="6"/>
    <n v="2"/>
    <n v="0"/>
    <n v="4"/>
    <n v="1"/>
    <m/>
    <m/>
    <s v="6-10 Years"/>
    <s v="0-2 Years"/>
    <x v="2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x v="2"/>
    <n v="7"/>
    <n v="7"/>
    <n v="7"/>
    <n v="7"/>
    <n v="1"/>
    <m/>
    <m/>
    <s v="6-10 Years"/>
    <s v="6-10 Years"/>
    <x v="1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x v="0"/>
    <n v="0"/>
    <n v="0"/>
    <n v="0"/>
    <n v="0"/>
    <n v="1"/>
    <m/>
    <m/>
    <s v="0-2 Years"/>
    <s v="0-2 Years"/>
    <x v="2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x v="1"/>
    <n v="0"/>
    <n v="0"/>
    <n v="0"/>
    <n v="0"/>
    <n v="1"/>
    <m/>
    <m/>
    <s v="0-2 Years"/>
    <s v="0-2 Years"/>
    <x v="2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x v="1"/>
    <n v="9"/>
    <n v="0"/>
    <n v="7"/>
    <n v="8"/>
    <n v="1"/>
    <m/>
    <m/>
    <s v="6-10 Years"/>
    <s v="6-10 Years"/>
    <x v="2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x v="1"/>
    <n v="6"/>
    <n v="3"/>
    <n v="1"/>
    <n v="5"/>
    <n v="1"/>
    <m/>
    <m/>
    <s v="6-10 Years"/>
    <s v="0-2 Years"/>
    <x v="4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x v="1"/>
    <n v="20"/>
    <n v="7"/>
    <n v="4"/>
    <n v="10"/>
    <n v="1"/>
    <m/>
    <m/>
    <s v="16-20 Years"/>
    <s v="3-5 Years"/>
    <x v="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x v="1"/>
    <n v="15"/>
    <n v="13"/>
    <n v="10"/>
    <n v="11"/>
    <n v="1"/>
    <m/>
    <m/>
    <s v="11-15 Years"/>
    <s v="6-10 Years"/>
    <x v="0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x v="1"/>
    <n v="36"/>
    <n v="10"/>
    <n v="4"/>
    <n v="13"/>
    <n v="1"/>
    <m/>
    <m/>
    <s v="21+ Years"/>
    <s v="3-5 Years"/>
    <x v="1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x v="2"/>
    <n v="10"/>
    <n v="7"/>
    <n v="9"/>
    <n v="9"/>
    <n v="1"/>
    <m/>
    <m/>
    <s v="6-10 Years"/>
    <s v="6-10 Years"/>
    <x v="1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x v="2"/>
    <n v="5"/>
    <n v="2"/>
    <n v="0"/>
    <n v="4"/>
    <n v="1"/>
    <m/>
    <m/>
    <s v="3-5 Years"/>
    <s v="0-2 Years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x v="3"/>
    <n v="5"/>
    <n v="4"/>
    <n v="0"/>
    <n v="1"/>
    <n v="1"/>
    <m/>
    <m/>
    <s v="3-5 Years"/>
    <s v="0-2 Years"/>
    <x v="0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x v="3"/>
    <n v="3"/>
    <n v="2"/>
    <n v="1"/>
    <n v="0"/>
    <n v="1"/>
    <m/>
    <m/>
    <s v="3-5 Years"/>
    <s v="0-2 Years"/>
    <x v="4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x v="1"/>
    <n v="5"/>
    <n v="2"/>
    <n v="0"/>
    <n v="2"/>
    <n v="1"/>
    <m/>
    <m/>
    <s v="3-5 Years"/>
    <s v="0-2 Years"/>
    <x v="0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x v="2"/>
    <n v="7"/>
    <n v="7"/>
    <n v="6"/>
    <n v="2"/>
    <n v="1"/>
    <m/>
    <m/>
    <s v="6-10 Years"/>
    <s v="6-10 Years"/>
    <x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x v="1"/>
    <n v="8"/>
    <n v="0"/>
    <n v="7"/>
    <n v="7"/>
    <n v="1"/>
    <m/>
    <m/>
    <s v="6-10 Years"/>
    <s v="6-10 Years"/>
    <x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x v="0"/>
    <n v="6"/>
    <n v="5"/>
    <n v="1"/>
    <n v="4"/>
    <n v="1"/>
    <m/>
    <m/>
    <s v="6-10 Years"/>
    <s v="0-2 Years"/>
    <x v="2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x v="2"/>
    <n v="10"/>
    <n v="4"/>
    <n v="1"/>
    <n v="6"/>
    <n v="1"/>
    <m/>
    <m/>
    <s v="6-10 Years"/>
    <s v="0-2 Years"/>
    <x v="1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x v="2"/>
    <n v="5"/>
    <n v="3"/>
    <n v="1"/>
    <n v="3"/>
    <n v="1"/>
    <m/>
    <m/>
    <s v="3-5 Years"/>
    <s v="0-2 Years"/>
    <x v="1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x v="1"/>
    <n v="20"/>
    <n v="16"/>
    <n v="11"/>
    <n v="6"/>
    <n v="1"/>
    <m/>
    <m/>
    <s v="16-20 Years"/>
    <s v="11-15 Years"/>
    <x v="0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x v="2"/>
    <n v="10"/>
    <n v="7"/>
    <n v="0"/>
    <n v="9"/>
    <n v="1"/>
    <m/>
    <m/>
    <s v="6-10 Years"/>
    <s v="0-2 Years"/>
    <x v="2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x v="1"/>
    <n v="10"/>
    <n v="7"/>
    <n v="0"/>
    <n v="8"/>
    <n v="1"/>
    <m/>
    <m/>
    <s v="6-10 Years"/>
    <s v="0-2 Years"/>
    <x v="1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x v="1"/>
    <n v="5"/>
    <n v="3"/>
    <n v="3"/>
    <n v="3"/>
    <n v="1"/>
    <m/>
    <m/>
    <s v="3-5 Years"/>
    <s v="3-5 Years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x v="1"/>
    <n v="17"/>
    <n v="12"/>
    <n v="5"/>
    <n v="7"/>
    <n v="1"/>
    <m/>
    <m/>
    <s v="16-20 Years"/>
    <s v="3-5 Years"/>
    <x v="0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x v="0"/>
    <n v="1"/>
    <n v="0"/>
    <n v="0"/>
    <n v="0"/>
    <n v="1"/>
    <m/>
    <m/>
    <s v="0-2 Years"/>
    <s v="0-2 Years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x v="1"/>
    <n v="2"/>
    <n v="2"/>
    <n v="1"/>
    <n v="2"/>
    <n v="1"/>
    <m/>
    <m/>
    <s v="0-2 Years"/>
    <s v="0-2 Years"/>
    <x v="0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x v="1"/>
    <n v="3"/>
    <n v="2"/>
    <n v="0"/>
    <n v="2"/>
    <n v="1"/>
    <m/>
    <m/>
    <s v="3-5 Years"/>
    <s v="0-2 Years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x v="1"/>
    <n v="5"/>
    <n v="3"/>
    <n v="0"/>
    <n v="2"/>
    <n v="1"/>
    <m/>
    <m/>
    <s v="3-5 Years"/>
    <s v="0-2 Years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x v="1"/>
    <n v="3"/>
    <n v="2"/>
    <n v="1"/>
    <n v="2"/>
    <n v="1"/>
    <m/>
    <m/>
    <s v="3-5 Years"/>
    <s v="0-2 Years"/>
    <x v="1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x v="1"/>
    <n v="8"/>
    <n v="0"/>
    <n v="7"/>
    <n v="7"/>
    <n v="1"/>
    <m/>
    <m/>
    <s v="6-10 Years"/>
    <s v="6-10 Years"/>
    <x v="0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x v="2"/>
    <n v="2"/>
    <n v="2"/>
    <n v="2"/>
    <n v="2"/>
    <n v="1"/>
    <m/>
    <m/>
    <s v="0-2 Years"/>
    <s v="0-2 Years"/>
    <x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x v="1"/>
    <n v="8"/>
    <n v="7"/>
    <n v="7"/>
    <n v="4"/>
    <n v="1"/>
    <m/>
    <m/>
    <s v="6-10 Years"/>
    <s v="6-10 Years"/>
    <x v="2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x v="2"/>
    <n v="4"/>
    <n v="2"/>
    <n v="1"/>
    <n v="2"/>
    <n v="1"/>
    <m/>
    <m/>
    <s v="3-5 Years"/>
    <s v="0-2 Years"/>
    <x v="0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x v="3"/>
    <n v="20"/>
    <n v="4"/>
    <n v="4"/>
    <n v="8"/>
    <n v="1"/>
    <m/>
    <m/>
    <s v="16-20 Years"/>
    <s v="3-5 Years"/>
    <x v="0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x v="1"/>
    <n v="0"/>
    <n v="0"/>
    <n v="0"/>
    <n v="0"/>
    <n v="1"/>
    <m/>
    <m/>
    <s v="0-2 Years"/>
    <s v="0-2 Years"/>
    <x v="4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x v="2"/>
    <n v="11"/>
    <n v="9"/>
    <n v="6"/>
    <n v="9"/>
    <n v="1"/>
    <m/>
    <m/>
    <s v="11-15 Years"/>
    <s v="6-10 Years"/>
    <x v="2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x v="1"/>
    <n v="1"/>
    <n v="0"/>
    <n v="0"/>
    <n v="0"/>
    <n v="1"/>
    <m/>
    <m/>
    <s v="0-2 Years"/>
    <s v="0-2 Years"/>
    <x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x v="1"/>
    <n v="4"/>
    <n v="1"/>
    <n v="1"/>
    <n v="2"/>
    <n v="1"/>
    <m/>
    <m/>
    <s v="3-5 Years"/>
    <s v="0-2 Years"/>
    <x v="1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x v="1"/>
    <n v="22"/>
    <n v="10"/>
    <n v="0"/>
    <n v="4"/>
    <n v="1"/>
    <m/>
    <m/>
    <s v="21+ Years"/>
    <s v="0-2 Years"/>
    <x v="0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x v="1"/>
    <n v="0"/>
    <n v="0"/>
    <n v="0"/>
    <n v="0"/>
    <n v="1"/>
    <m/>
    <m/>
    <s v="0-2 Years"/>
    <s v="0-2 Years"/>
    <x v="4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x v="1"/>
    <n v="8"/>
    <n v="3"/>
    <n v="0"/>
    <n v="7"/>
    <n v="1"/>
    <m/>
    <m/>
    <s v="6-10 Years"/>
    <s v="0-2 Years"/>
    <x v="2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x v="2"/>
    <n v="8"/>
    <n v="7"/>
    <n v="7"/>
    <n v="7"/>
    <n v="1"/>
    <m/>
    <m/>
    <s v="6-10 Years"/>
    <s v="6-10 Years"/>
    <x v="2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x v="2"/>
    <n v="18"/>
    <n v="10"/>
    <n v="3"/>
    <n v="7"/>
    <n v="1"/>
    <m/>
    <m/>
    <s v="16-20 Years"/>
    <s v="3-5 Years"/>
    <x v="0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x v="1"/>
    <n v="9"/>
    <n v="8"/>
    <n v="0"/>
    <n v="8"/>
    <n v="1"/>
    <m/>
    <m/>
    <s v="6-10 Years"/>
    <s v="0-2 Years"/>
    <x v="0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x v="2"/>
    <n v="13"/>
    <n v="8"/>
    <n v="4"/>
    <n v="8"/>
    <n v="1"/>
    <m/>
    <m/>
    <s v="11-15 Years"/>
    <s v="3-5 Years"/>
    <x v="2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x v="1"/>
    <n v="10"/>
    <n v="8"/>
    <n v="0"/>
    <n v="1"/>
    <n v="1"/>
    <m/>
    <m/>
    <s v="6-10 Years"/>
    <s v="0-2 Years"/>
    <x v="0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x v="1"/>
    <n v="5"/>
    <n v="3"/>
    <n v="1"/>
    <n v="2"/>
    <n v="1"/>
    <m/>
    <m/>
    <s v="3-5 Years"/>
    <s v="0-2 Years"/>
    <x v="3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x v="1"/>
    <n v="5"/>
    <n v="2"/>
    <n v="0"/>
    <n v="3"/>
    <n v="1"/>
    <m/>
    <m/>
    <s v="3-5 Years"/>
    <s v="0-2 Years"/>
    <x v="2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x v="1"/>
    <n v="2"/>
    <n v="2"/>
    <n v="1"/>
    <n v="0"/>
    <n v="1"/>
    <m/>
    <m/>
    <s v="0-2 Years"/>
    <s v="0-2 Years"/>
    <x v="2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x v="1"/>
    <n v="24"/>
    <n v="9"/>
    <n v="9"/>
    <n v="11"/>
    <n v="1"/>
    <m/>
    <m/>
    <s v="21+ Years"/>
    <s v="6-10 Years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x v="0"/>
    <n v="2"/>
    <n v="2"/>
    <n v="2"/>
    <n v="2"/>
    <n v="1"/>
    <m/>
    <m/>
    <s v="0-2 Years"/>
    <s v="0-2 Years"/>
    <x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x v="1"/>
    <n v="10"/>
    <n v="6"/>
    <n v="8"/>
    <n v="8"/>
    <n v="1"/>
    <m/>
    <m/>
    <s v="6-10 Years"/>
    <s v="6-10 Years"/>
    <x v="2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x v="1"/>
    <n v="21"/>
    <n v="9"/>
    <n v="11"/>
    <n v="10"/>
    <n v="1"/>
    <m/>
    <m/>
    <s v="21+ Years"/>
    <s v="11-15 Years"/>
    <x v="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x v="1"/>
    <n v="8"/>
    <n v="7"/>
    <n v="1"/>
    <n v="7"/>
    <n v="1"/>
    <m/>
    <m/>
    <s v="6-10 Years"/>
    <s v="0-2 Years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x v="1"/>
    <n v="7"/>
    <n v="1"/>
    <n v="0"/>
    <n v="7"/>
    <n v="1"/>
    <m/>
    <m/>
    <s v="6-10 Years"/>
    <s v="0-2 Years"/>
    <x v="1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x v="2"/>
    <n v="8"/>
    <n v="2"/>
    <n v="7"/>
    <n v="7"/>
    <n v="1"/>
    <m/>
    <m/>
    <s v="6-10 Years"/>
    <s v="6-10 Years"/>
    <x v="1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x v="2"/>
    <n v="4"/>
    <n v="3"/>
    <n v="1"/>
    <n v="2"/>
    <n v="1"/>
    <m/>
    <m/>
    <s v="3-5 Years"/>
    <s v="0-2 Years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x v="1"/>
    <n v="13"/>
    <n v="12"/>
    <n v="11"/>
    <n v="9"/>
    <n v="1"/>
    <m/>
    <m/>
    <s v="11-15 Years"/>
    <s v="11-15 Years"/>
    <x v="2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x v="1"/>
    <n v="5"/>
    <n v="4"/>
    <n v="0"/>
    <n v="4"/>
    <n v="1"/>
    <m/>
    <m/>
    <s v="3-5 Years"/>
    <s v="0-2 Years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x v="1"/>
    <n v="7"/>
    <n v="7"/>
    <n v="1"/>
    <n v="7"/>
    <n v="1"/>
    <m/>
    <m/>
    <s v="6-10 Years"/>
    <s v="0-2 Years"/>
    <x v="2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x v="2"/>
    <n v="7"/>
    <n v="7"/>
    <n v="0"/>
    <n v="7"/>
    <n v="1"/>
    <m/>
    <m/>
    <s v="6-10 Years"/>
    <s v="0-2 Years"/>
    <x v="2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x v="2"/>
    <n v="3"/>
    <n v="2"/>
    <n v="2"/>
    <n v="2"/>
    <n v="1"/>
    <m/>
    <m/>
    <s v="3-5 Years"/>
    <s v="0-2 Years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x v="1"/>
    <n v="10"/>
    <n v="8"/>
    <n v="1"/>
    <n v="9"/>
    <n v="1"/>
    <m/>
    <m/>
    <s v="6-10 Years"/>
    <s v="0-2 Years"/>
    <x v="2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x v="1"/>
    <n v="10"/>
    <n v="9"/>
    <n v="8"/>
    <n v="9"/>
    <n v="1"/>
    <m/>
    <m/>
    <s v="6-10 Years"/>
    <s v="6-10 Years"/>
    <x v="2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x v="1"/>
    <n v="21"/>
    <n v="9"/>
    <n v="13"/>
    <n v="3"/>
    <n v="1"/>
    <m/>
    <m/>
    <s v="21+ Years"/>
    <s v="11-15 Years"/>
    <x v="0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x v="2"/>
    <n v="1"/>
    <n v="0"/>
    <n v="0"/>
    <n v="0"/>
    <n v="1"/>
    <m/>
    <m/>
    <s v="0-2 Years"/>
    <s v="0-2 Years"/>
    <x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x v="2"/>
    <n v="7"/>
    <n v="7"/>
    <n v="0"/>
    <n v="1"/>
    <n v="1"/>
    <m/>
    <m/>
    <s v="6-10 Years"/>
    <s v="0-2 Years"/>
    <x v="2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x v="1"/>
    <n v="3"/>
    <n v="2"/>
    <n v="1"/>
    <n v="1"/>
    <n v="1"/>
    <m/>
    <m/>
    <s v="3-5 Years"/>
    <s v="0-2 Years"/>
    <x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x v="3"/>
    <n v="9"/>
    <n v="7"/>
    <n v="0"/>
    <n v="0"/>
    <n v="1"/>
    <m/>
    <m/>
    <s v="6-10 Years"/>
    <s v="0-2 Years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x v="1"/>
    <n v="5"/>
    <n v="4"/>
    <n v="1"/>
    <n v="4"/>
    <n v="1"/>
    <m/>
    <m/>
    <s v="3-5 Years"/>
    <s v="0-2 Years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x v="2"/>
    <n v="4"/>
    <n v="3"/>
    <n v="0"/>
    <n v="3"/>
    <n v="1"/>
    <m/>
    <m/>
    <s v="3-5 Years"/>
    <s v="0-2 Years"/>
    <x v="1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x v="2"/>
    <n v="1"/>
    <n v="0"/>
    <n v="0"/>
    <n v="0"/>
    <n v="1"/>
    <m/>
    <m/>
    <s v="0-2 Years"/>
    <s v="0-2 Years"/>
    <x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x v="1"/>
    <n v="10"/>
    <n v="9"/>
    <n v="9"/>
    <n v="8"/>
    <n v="1"/>
    <m/>
    <m/>
    <s v="6-10 Years"/>
    <s v="6-10 Years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x v="2"/>
    <n v="4"/>
    <n v="3"/>
    <n v="0"/>
    <n v="2"/>
    <n v="1"/>
    <m/>
    <m/>
    <s v="3-5 Years"/>
    <s v="0-2 Years"/>
    <x v="0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x v="2"/>
    <n v="7"/>
    <n v="7"/>
    <n v="0"/>
    <n v="7"/>
    <n v="1"/>
    <m/>
    <m/>
    <s v="6-10 Years"/>
    <s v="0-2 Years"/>
    <x v="2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x v="1"/>
    <n v="3"/>
    <n v="2"/>
    <n v="2"/>
    <n v="2"/>
    <n v="1"/>
    <m/>
    <m/>
    <s v="3-5 Years"/>
    <s v="0-2 Years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x v="1"/>
    <n v="10"/>
    <n v="9"/>
    <n v="1"/>
    <n v="2"/>
    <n v="1"/>
    <m/>
    <m/>
    <s v="6-10 Years"/>
    <s v="0-2 Years"/>
    <x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x v="1"/>
    <n v="8"/>
    <n v="7"/>
    <n v="0"/>
    <n v="7"/>
    <n v="1"/>
    <m/>
    <m/>
    <s v="6-10 Years"/>
    <s v="0-2 Years"/>
    <x v="2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x v="2"/>
    <n v="6"/>
    <n v="2"/>
    <n v="0"/>
    <n v="4"/>
    <n v="1"/>
    <m/>
    <m/>
    <s v="6-10 Years"/>
    <s v="0-2 Years"/>
    <x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x v="1"/>
    <n v="11"/>
    <n v="10"/>
    <n v="2"/>
    <n v="9"/>
    <n v="1"/>
    <m/>
    <m/>
    <s v="11-15 Years"/>
    <s v="0-2 Years"/>
    <x v="0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x v="2"/>
    <n v="11"/>
    <n v="9"/>
    <n v="4"/>
    <n v="10"/>
    <n v="1"/>
    <m/>
    <m/>
    <s v="11-15 Years"/>
    <s v="3-5 Years"/>
    <x v="2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x v="1"/>
    <n v="7"/>
    <n v="7"/>
    <n v="1"/>
    <n v="7"/>
    <n v="1"/>
    <m/>
    <m/>
    <s v="6-10 Years"/>
    <s v="0-2 Years"/>
    <x v="2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x v="1"/>
    <n v="16"/>
    <n v="6"/>
    <n v="0"/>
    <n v="13"/>
    <n v="1"/>
    <m/>
    <m/>
    <s v="16-20 Years"/>
    <s v="0-2 Years"/>
    <x v="2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x v="2"/>
    <n v="4"/>
    <n v="2"/>
    <n v="0"/>
    <n v="2"/>
    <n v="1"/>
    <m/>
    <m/>
    <s v="3-5 Years"/>
    <s v="0-2 Years"/>
    <x v="4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x v="1"/>
    <n v="5"/>
    <n v="4"/>
    <n v="1"/>
    <n v="2"/>
    <n v="1"/>
    <m/>
    <m/>
    <s v="3-5 Years"/>
    <s v="0-2 Years"/>
    <x v="0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x v="1"/>
    <n v="0"/>
    <n v="0"/>
    <n v="0"/>
    <n v="0"/>
    <n v="1"/>
    <m/>
    <m/>
    <s v="0-2 Years"/>
    <s v="0-2 Years"/>
    <x v="1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x v="1"/>
    <n v="1"/>
    <n v="0"/>
    <n v="0"/>
    <n v="0"/>
    <n v="1"/>
    <m/>
    <m/>
    <s v="0-2 Years"/>
    <s v="0-2 Years"/>
    <x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x v="2"/>
    <n v="4"/>
    <n v="3"/>
    <n v="0"/>
    <n v="2"/>
    <n v="1"/>
    <m/>
    <m/>
    <s v="3-5 Years"/>
    <s v="0-2 Years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x v="1"/>
    <n v="3"/>
    <n v="2"/>
    <n v="1"/>
    <n v="0"/>
    <n v="1"/>
    <m/>
    <m/>
    <s v="3-5 Years"/>
    <s v="0-2 Years"/>
    <x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x v="1"/>
    <n v="8"/>
    <n v="0"/>
    <n v="0"/>
    <n v="7"/>
    <n v="1"/>
    <m/>
    <m/>
    <s v="6-10 Years"/>
    <s v="0-2 Years"/>
    <x v="2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x v="0"/>
    <n v="0"/>
    <n v="0"/>
    <n v="0"/>
    <n v="0"/>
    <n v="1"/>
    <m/>
    <m/>
    <s v="0-2 Years"/>
    <s v="0-2 Years"/>
    <x v="1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x v="1"/>
    <n v="7"/>
    <n v="7"/>
    <n v="6"/>
    <n v="7"/>
    <n v="1"/>
    <m/>
    <m/>
    <s v="6-10 Years"/>
    <s v="6-10 Years"/>
    <x v="0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x v="3"/>
    <n v="2"/>
    <n v="2"/>
    <n v="2"/>
    <n v="2"/>
    <n v="1"/>
    <m/>
    <m/>
    <s v="0-2 Years"/>
    <s v="0-2 Years"/>
    <x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x v="1"/>
    <n v="8"/>
    <n v="7"/>
    <n v="7"/>
    <n v="7"/>
    <n v="1"/>
    <m/>
    <m/>
    <s v="6-10 Years"/>
    <s v="6-10 Years"/>
    <x v="2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x v="1"/>
    <n v="1"/>
    <n v="0"/>
    <n v="0"/>
    <n v="0"/>
    <n v="1"/>
    <m/>
    <m/>
    <s v="0-2 Years"/>
    <s v="0-2 Years"/>
    <x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x v="1"/>
    <n v="3"/>
    <n v="2"/>
    <n v="1"/>
    <n v="2"/>
    <n v="1"/>
    <m/>
    <m/>
    <s v="3-5 Years"/>
    <s v="0-2 Years"/>
    <x v="4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x v="1"/>
    <n v="1"/>
    <n v="0"/>
    <n v="0"/>
    <n v="0"/>
    <n v="1"/>
    <m/>
    <m/>
    <s v="0-2 Years"/>
    <s v="0-2 Years"/>
    <x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x v="1"/>
    <n v="13"/>
    <n v="9"/>
    <n v="1"/>
    <n v="12"/>
    <n v="1"/>
    <m/>
    <m/>
    <s v="11-15 Years"/>
    <s v="0-2 Years"/>
    <x v="0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x v="1"/>
    <n v="3"/>
    <n v="2"/>
    <n v="1"/>
    <n v="2"/>
    <n v="1"/>
    <m/>
    <m/>
    <s v="3-5 Years"/>
    <s v="0-2 Years"/>
    <x v="3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x v="1"/>
    <n v="7"/>
    <n v="7"/>
    <n v="1"/>
    <n v="7"/>
    <n v="1"/>
    <m/>
    <m/>
    <s v="6-10 Years"/>
    <s v="0-2 Years"/>
    <x v="0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x v="2"/>
    <n v="3"/>
    <n v="2"/>
    <n v="2"/>
    <n v="2"/>
    <n v="1"/>
    <m/>
    <m/>
    <s v="3-5 Years"/>
    <s v="0-2 Years"/>
    <x v="4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x v="1"/>
    <n v="1"/>
    <n v="0"/>
    <n v="0"/>
    <n v="0"/>
    <n v="1"/>
    <m/>
    <m/>
    <s v="0-2 Years"/>
    <s v="0-2 Years"/>
    <x v="2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x v="1"/>
    <n v="5"/>
    <n v="4"/>
    <n v="0"/>
    <n v="3"/>
    <n v="1"/>
    <m/>
    <m/>
    <s v="3-5 Years"/>
    <s v="0-2 Years"/>
    <x v="0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x v="3"/>
    <n v="1"/>
    <n v="0"/>
    <n v="0"/>
    <n v="0"/>
    <n v="1"/>
    <m/>
    <m/>
    <s v="0-2 Years"/>
    <s v="0-2 Years"/>
    <x v="1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x v="1"/>
    <n v="8"/>
    <n v="7"/>
    <n v="7"/>
    <n v="7"/>
    <n v="1"/>
    <m/>
    <m/>
    <s v="6-10 Years"/>
    <s v="6-10 Years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x v="1"/>
    <n v="4"/>
    <n v="3"/>
    <n v="1"/>
    <n v="3"/>
    <n v="1"/>
    <m/>
    <m/>
    <s v="3-5 Years"/>
    <s v="0-2 Years"/>
    <x v="1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x v="1"/>
    <n v="6"/>
    <n v="4"/>
    <n v="1"/>
    <n v="0"/>
    <n v="1"/>
    <m/>
    <m/>
    <s v="6-10 Years"/>
    <s v="0-2 Years"/>
    <x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x v="1"/>
    <n v="2"/>
    <n v="2"/>
    <n v="2"/>
    <n v="2"/>
    <n v="1"/>
    <m/>
    <m/>
    <s v="0-2 Years"/>
    <s v="0-2 Years"/>
    <x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x v="1"/>
    <n v="1"/>
    <n v="0"/>
    <n v="0"/>
    <n v="0"/>
    <n v="1"/>
    <m/>
    <m/>
    <s v="0-2 Years"/>
    <s v="0-2 Years"/>
    <x v="4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x v="1"/>
    <n v="3"/>
    <n v="2"/>
    <n v="1"/>
    <n v="2"/>
    <n v="1"/>
    <m/>
    <m/>
    <s v="3-5 Years"/>
    <s v="0-2 Years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x v="1"/>
    <n v="1"/>
    <n v="1"/>
    <n v="0"/>
    <n v="0"/>
    <n v="1"/>
    <m/>
    <m/>
    <s v="0-2 Years"/>
    <s v="0-2 Years"/>
    <x v="2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x v="1"/>
    <n v="5"/>
    <n v="2"/>
    <n v="0"/>
    <n v="4"/>
    <n v="1"/>
    <m/>
    <m/>
    <s v="3-5 Years"/>
    <s v="0-2 Years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x v="1"/>
    <n v="7"/>
    <n v="5"/>
    <n v="0"/>
    <n v="7"/>
    <n v="1"/>
    <m/>
    <m/>
    <s v="6-10 Years"/>
    <s v="0-2 Years"/>
    <x v="2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x v="1"/>
    <n v="5"/>
    <n v="2"/>
    <n v="0"/>
    <n v="0"/>
    <n v="1"/>
    <m/>
    <m/>
    <s v="3-5 Years"/>
    <s v="0-2 Years"/>
    <x v="1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x v="2"/>
    <n v="7"/>
    <n v="7"/>
    <n v="0"/>
    <n v="7"/>
    <n v="1"/>
    <m/>
    <m/>
    <s v="6-10 Years"/>
    <s v="0-2 Years"/>
    <x v="1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x v="1"/>
    <n v="2"/>
    <n v="2"/>
    <n v="2"/>
    <n v="2"/>
    <n v="1"/>
    <m/>
    <m/>
    <s v="0-2 Years"/>
    <s v="0-2 Years"/>
    <x v="0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x v="2"/>
    <n v="5"/>
    <n v="2"/>
    <n v="0"/>
    <n v="4"/>
    <n v="1"/>
    <m/>
    <m/>
    <s v="3-5 Years"/>
    <s v="0-2 Years"/>
    <x v="2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x v="1"/>
    <n v="5"/>
    <n v="4"/>
    <n v="1"/>
    <n v="2"/>
    <n v="1"/>
    <m/>
    <m/>
    <s v="3-5 Years"/>
    <s v="0-2 Years"/>
    <x v="1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x v="3"/>
    <n v="5"/>
    <n v="2"/>
    <n v="0"/>
    <n v="3"/>
    <n v="1"/>
    <m/>
    <m/>
    <s v="3-5 Years"/>
    <s v="0-2 Years"/>
    <x v="4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x v="1"/>
    <n v="1"/>
    <n v="0"/>
    <n v="0"/>
    <n v="0"/>
    <n v="1"/>
    <m/>
    <m/>
    <s v="0-2 Years"/>
    <s v="0-2 Years"/>
    <x v="2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x v="1"/>
    <n v="6"/>
    <n v="4"/>
    <n v="0"/>
    <n v="4"/>
    <n v="1"/>
    <m/>
    <m/>
    <s v="6-10 Years"/>
    <s v="0-2 Years"/>
    <x v="2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x v="1"/>
    <n v="2"/>
    <n v="1"/>
    <n v="1"/>
    <n v="2"/>
    <n v="1"/>
    <m/>
    <m/>
    <s v="0-2 Years"/>
    <s v="0-2 Years"/>
    <x v="4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x v="1"/>
    <n v="10"/>
    <n v="9"/>
    <n v="9"/>
    <n v="0"/>
    <n v="1"/>
    <m/>
    <m/>
    <s v="6-10 Years"/>
    <s v="6-10 Years"/>
    <x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x v="1"/>
    <n v="1"/>
    <n v="0"/>
    <n v="0"/>
    <n v="0"/>
    <n v="1"/>
    <m/>
    <m/>
    <s v="0-2 Years"/>
    <s v="0-2 Years"/>
    <x v="2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x v="2"/>
    <n v="18"/>
    <n v="7"/>
    <n v="12"/>
    <n v="17"/>
    <n v="1"/>
    <m/>
    <m/>
    <s v="16-20 Years"/>
    <s v="11-15 Years"/>
    <x v="0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x v="1"/>
    <n v="5"/>
    <n v="4"/>
    <n v="1"/>
    <n v="3"/>
    <n v="1"/>
    <m/>
    <m/>
    <s v="3-5 Years"/>
    <s v="0-2 Years"/>
    <x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x v="1"/>
    <n v="5"/>
    <n v="2"/>
    <n v="1"/>
    <n v="2"/>
    <n v="1"/>
    <m/>
    <m/>
    <s v="3-5 Years"/>
    <s v="0-2 Years"/>
    <x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x v="2"/>
    <n v="1"/>
    <n v="0"/>
    <n v="0"/>
    <n v="1"/>
    <n v="1"/>
    <m/>
    <m/>
    <s v="0-2 Years"/>
    <s v="0-2 Years"/>
    <x v="0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x v="1"/>
    <n v="25"/>
    <n v="10"/>
    <n v="3"/>
    <n v="9"/>
    <n v="1"/>
    <m/>
    <m/>
    <s v="21+ Years"/>
    <s v="3-5 Years"/>
    <x v="0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x v="1"/>
    <n v="1"/>
    <n v="0"/>
    <n v="0"/>
    <n v="0"/>
    <n v="1"/>
    <m/>
    <m/>
    <s v="0-2 Years"/>
    <s v="0-2 Years"/>
    <x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x v="2"/>
    <n v="4"/>
    <n v="2"/>
    <n v="1"/>
    <n v="2"/>
    <n v="1"/>
    <m/>
    <m/>
    <s v="3-5 Years"/>
    <s v="0-2 Years"/>
    <x v="1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x v="1"/>
    <n v="3"/>
    <n v="2"/>
    <n v="1"/>
    <n v="2"/>
    <n v="1"/>
    <m/>
    <m/>
    <s v="3-5 Years"/>
    <s v="0-2 Years"/>
    <x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x v="0"/>
    <n v="13"/>
    <n v="10"/>
    <n v="3"/>
    <n v="12"/>
    <n v="1"/>
    <m/>
    <m/>
    <s v="11-15 Years"/>
    <s v="3-5 Years"/>
    <x v="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x v="1"/>
    <n v="3"/>
    <n v="2"/>
    <n v="1"/>
    <n v="2"/>
    <n v="1"/>
    <m/>
    <m/>
    <s v="3-5 Years"/>
    <s v="0-2 Years"/>
    <x v="0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x v="1"/>
    <n v="5"/>
    <n v="2"/>
    <n v="0"/>
    <n v="2"/>
    <n v="1"/>
    <m/>
    <m/>
    <s v="3-5 Years"/>
    <s v="0-2 Years"/>
    <x v="0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x v="1"/>
    <n v="5"/>
    <n v="4"/>
    <n v="1"/>
    <n v="3"/>
    <n v="1"/>
    <m/>
    <m/>
    <s v="3-5 Years"/>
    <s v="0-2 Years"/>
    <x v="4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x v="1"/>
    <n v="13"/>
    <n v="11"/>
    <n v="10"/>
    <n v="7"/>
    <n v="1"/>
    <m/>
    <m/>
    <s v="11-15 Years"/>
    <s v="6-10 Years"/>
    <x v="0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x v="1"/>
    <n v="4"/>
    <n v="2"/>
    <n v="3"/>
    <n v="2"/>
    <n v="1"/>
    <m/>
    <m/>
    <s v="3-5 Years"/>
    <s v="3-5 Years"/>
    <x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x v="1"/>
    <n v="21"/>
    <n v="8"/>
    <n v="1"/>
    <n v="6"/>
    <n v="1"/>
    <m/>
    <m/>
    <s v="21+ Years"/>
    <s v="0-2 Years"/>
    <x v="0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x v="2"/>
    <n v="7"/>
    <n v="7"/>
    <n v="7"/>
    <n v="7"/>
    <n v="1"/>
    <m/>
    <m/>
    <s v="6-10 Years"/>
    <s v="6-10 Years"/>
    <x v="3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x v="1"/>
    <n v="5"/>
    <n v="4"/>
    <n v="4"/>
    <n v="4"/>
    <n v="1"/>
    <m/>
    <m/>
    <s v="3-5 Years"/>
    <s v="3-5 Years"/>
    <x v="2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x v="1"/>
    <n v="10"/>
    <n v="7"/>
    <n v="0"/>
    <n v="7"/>
    <n v="1"/>
    <m/>
    <m/>
    <s v="6-10 Years"/>
    <s v="0-2 Years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x v="1"/>
    <n v="10"/>
    <n v="0"/>
    <n v="1"/>
    <n v="8"/>
    <n v="1"/>
    <m/>
    <m/>
    <s v="6-10 Years"/>
    <s v="0-2 Years"/>
    <x v="2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x v="1"/>
    <n v="2"/>
    <n v="2"/>
    <n v="0"/>
    <n v="2"/>
    <n v="1"/>
    <m/>
    <m/>
    <s v="0-2 Years"/>
    <s v="0-2 Years"/>
    <x v="4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x v="1"/>
    <n v="5"/>
    <n v="4"/>
    <n v="0"/>
    <n v="4"/>
    <n v="1"/>
    <m/>
    <m/>
    <s v="3-5 Years"/>
    <s v="0-2 Years"/>
    <x v="1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x v="2"/>
    <n v="2"/>
    <n v="2"/>
    <n v="0"/>
    <n v="2"/>
    <n v="1"/>
    <m/>
    <m/>
    <s v="0-2 Years"/>
    <s v="0-2 Years"/>
    <x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x v="0"/>
    <n v="5"/>
    <n v="2"/>
    <n v="1"/>
    <n v="4"/>
    <n v="1"/>
    <m/>
    <m/>
    <s v="3-5 Years"/>
    <s v="0-2 Years"/>
    <x v="1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x v="1"/>
    <n v="5"/>
    <n v="4"/>
    <n v="0"/>
    <n v="2"/>
    <n v="1"/>
    <m/>
    <m/>
    <s v="3-5 Years"/>
    <s v="0-2 Years"/>
    <x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x v="1"/>
    <n v="5"/>
    <n v="4"/>
    <n v="0"/>
    <n v="2"/>
    <n v="1"/>
    <m/>
    <m/>
    <s v="3-5 Years"/>
    <s v="0-2 Years"/>
    <x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x v="0"/>
    <n v="29"/>
    <n v="8"/>
    <n v="11"/>
    <n v="10"/>
    <n v="1"/>
    <m/>
    <m/>
    <s v="21+ Years"/>
    <s v="11-15 Years"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x v="2"/>
    <n v="10"/>
    <n v="7"/>
    <n v="0"/>
    <n v="8"/>
    <n v="1"/>
    <m/>
    <m/>
    <s v="6-10 Years"/>
    <s v="0-2 Years"/>
    <x v="1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x v="3"/>
    <n v="6"/>
    <n v="5"/>
    <n v="0"/>
    <n v="4"/>
    <n v="1"/>
    <m/>
    <m/>
    <s v="6-10 Years"/>
    <s v="0-2 Years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x v="1"/>
    <n v="5"/>
    <n v="3"/>
    <n v="1"/>
    <n v="4"/>
    <n v="1"/>
    <m/>
    <m/>
    <s v="3-5 Years"/>
    <s v="0-2 Years"/>
    <x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x v="2"/>
    <n v="2"/>
    <n v="2"/>
    <n v="1"/>
    <n v="0"/>
    <n v="1"/>
    <m/>
    <m/>
    <s v="0-2 Years"/>
    <s v="0-2 Years"/>
    <x v="2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x v="1"/>
    <n v="1"/>
    <n v="0"/>
    <n v="0"/>
    <n v="0"/>
    <n v="1"/>
    <m/>
    <m/>
    <s v="0-2 Years"/>
    <s v="0-2 Years"/>
    <x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x v="1"/>
    <n v="20"/>
    <n v="15"/>
    <n v="1"/>
    <n v="12"/>
    <n v="1"/>
    <m/>
    <m/>
    <s v="16-20 Years"/>
    <s v="0-2 Years"/>
    <x v="0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x v="0"/>
    <n v="3"/>
    <n v="2"/>
    <n v="0"/>
    <n v="2"/>
    <n v="1"/>
    <m/>
    <m/>
    <s v="3-5 Years"/>
    <s v="0-2 Years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x v="0"/>
    <n v="5"/>
    <n v="3"/>
    <n v="1"/>
    <n v="4"/>
    <n v="1"/>
    <m/>
    <m/>
    <s v="3-5 Years"/>
    <s v="0-2 Years"/>
    <x v="2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x v="1"/>
    <n v="10"/>
    <n v="2"/>
    <n v="0"/>
    <n v="7"/>
    <n v="1"/>
    <m/>
    <m/>
    <s v="6-10 Years"/>
    <s v="0-2 Years"/>
    <x v="2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x v="3"/>
    <n v="2"/>
    <n v="2"/>
    <n v="1"/>
    <n v="1"/>
    <n v="1"/>
    <m/>
    <m/>
    <s v="0-2 Years"/>
    <s v="0-2 Years"/>
    <x v="2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x v="3"/>
    <n v="1"/>
    <n v="0"/>
    <n v="0"/>
    <n v="0"/>
    <n v="1"/>
    <m/>
    <m/>
    <s v="0-2 Years"/>
    <s v="0-2 Years"/>
    <x v="4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x v="1"/>
    <n v="9"/>
    <n v="8"/>
    <n v="7"/>
    <n v="8"/>
    <n v="1"/>
    <m/>
    <m/>
    <s v="6-10 Years"/>
    <s v="6-10 Years"/>
    <x v="2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x v="2"/>
    <n v="1"/>
    <n v="0"/>
    <n v="0"/>
    <n v="0"/>
    <n v="1"/>
    <m/>
    <m/>
    <s v="0-2 Years"/>
    <s v="0-2 Years"/>
    <x v="3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x v="1"/>
    <n v="27"/>
    <n v="10"/>
    <n v="15"/>
    <n v="7"/>
    <n v="1"/>
    <m/>
    <m/>
    <s v="21+ Years"/>
    <s v="11-15 Years"/>
    <x v="1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x v="2"/>
    <n v="11"/>
    <n v="7"/>
    <n v="6"/>
    <n v="7"/>
    <n v="1"/>
    <m/>
    <m/>
    <s v="11-15 Years"/>
    <s v="6-10 Years"/>
    <x v="2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x v="3"/>
    <n v="18"/>
    <n v="13"/>
    <n v="13"/>
    <n v="11"/>
    <n v="1"/>
    <m/>
    <m/>
    <s v="16-20 Years"/>
    <s v="11-15 Years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x v="1"/>
    <n v="5"/>
    <n v="0"/>
    <n v="0"/>
    <n v="4"/>
    <n v="1"/>
    <m/>
    <m/>
    <s v="3-5 Years"/>
    <s v="0-2 Years"/>
    <x v="1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x v="0"/>
    <n v="3"/>
    <n v="2"/>
    <n v="0"/>
    <n v="1"/>
    <n v="1"/>
    <m/>
    <m/>
    <s v="3-5 Years"/>
    <s v="0-2 Years"/>
    <x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x v="1"/>
    <n v="5"/>
    <n v="4"/>
    <n v="4"/>
    <n v="3"/>
    <n v="1"/>
    <m/>
    <m/>
    <s v="3-5 Years"/>
    <s v="3-5 Years"/>
    <x v="2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x v="1"/>
    <n v="1"/>
    <n v="0"/>
    <n v="0"/>
    <n v="0"/>
    <n v="1"/>
    <m/>
    <m/>
    <s v="0-2 Years"/>
    <s v="0-2 Years"/>
    <x v="1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x v="1"/>
    <n v="7"/>
    <n v="3"/>
    <n v="5"/>
    <n v="7"/>
    <n v="1"/>
    <m/>
    <m/>
    <s v="6-10 Years"/>
    <s v="3-5 Years"/>
    <x v="2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x v="1"/>
    <n v="3"/>
    <n v="2"/>
    <n v="1"/>
    <n v="2"/>
    <n v="1"/>
    <m/>
    <m/>
    <s v="3-5 Years"/>
    <s v="0-2 Years"/>
    <x v="1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x v="3"/>
    <n v="13"/>
    <n v="8"/>
    <n v="0"/>
    <n v="8"/>
    <n v="1"/>
    <m/>
    <m/>
    <s v="11-15 Years"/>
    <s v="0-2 Years"/>
    <x v="2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x v="3"/>
    <n v="7"/>
    <n v="6"/>
    <n v="7"/>
    <n v="7"/>
    <n v="1"/>
    <m/>
    <m/>
    <s v="6-10 Years"/>
    <s v="6-10 Years"/>
    <x v="2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x v="1"/>
    <n v="4"/>
    <n v="3"/>
    <n v="1"/>
    <n v="3"/>
    <n v="1"/>
    <m/>
    <m/>
    <s v="3-5 Years"/>
    <s v="0-2 Years"/>
    <x v="2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x v="1"/>
    <n v="3"/>
    <n v="2"/>
    <n v="1"/>
    <n v="2"/>
    <n v="1"/>
    <m/>
    <m/>
    <s v="3-5 Years"/>
    <s v="0-2 Years"/>
    <x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x v="1"/>
    <n v="8"/>
    <n v="7"/>
    <n v="0"/>
    <n v="0"/>
    <n v="1"/>
    <m/>
    <m/>
    <s v="6-10 Years"/>
    <s v="0-2 Years"/>
    <x v="2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x v="1"/>
    <n v="1"/>
    <n v="0"/>
    <n v="0"/>
    <n v="0"/>
    <n v="1"/>
    <m/>
    <m/>
    <s v="0-2 Years"/>
    <s v="0-2 Years"/>
    <x v="2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x v="1"/>
    <n v="3"/>
    <n v="2"/>
    <n v="0"/>
    <n v="2"/>
    <n v="1"/>
    <m/>
    <m/>
    <s v="3-5 Years"/>
    <s v="0-2 Years"/>
    <x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x v="1"/>
    <n v="2"/>
    <n v="2"/>
    <n v="2"/>
    <n v="0"/>
    <n v="1"/>
    <m/>
    <m/>
    <s v="0-2 Years"/>
    <s v="0-2 Years"/>
    <x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x v="2"/>
    <n v="10"/>
    <n v="3"/>
    <n v="9"/>
    <n v="7"/>
    <n v="1"/>
    <m/>
    <m/>
    <s v="6-10 Years"/>
    <s v="6-10 Years"/>
    <x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x v="1"/>
    <n v="2"/>
    <n v="2"/>
    <n v="1"/>
    <n v="2"/>
    <n v="1"/>
    <m/>
    <m/>
    <s v="0-2 Years"/>
    <s v="0-2 Years"/>
    <x v="4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x v="1"/>
    <n v="9"/>
    <n v="7"/>
    <n v="6"/>
    <n v="7"/>
    <n v="1"/>
    <m/>
    <m/>
    <s v="6-10 Years"/>
    <s v="6-10 Years"/>
    <x v="1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x v="1"/>
    <n v="10"/>
    <n v="9"/>
    <n v="7"/>
    <n v="7"/>
    <n v="1"/>
    <m/>
    <m/>
    <s v="6-10 Years"/>
    <s v="6-10 Years"/>
    <x v="1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x v="1"/>
    <n v="14"/>
    <n v="3"/>
    <n v="1"/>
    <n v="10"/>
    <n v="1"/>
    <m/>
    <m/>
    <s v="11-15 Years"/>
    <s v="0-2 Years"/>
    <x v="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x v="1"/>
    <n v="11"/>
    <n v="9"/>
    <n v="6"/>
    <n v="9"/>
    <n v="1"/>
    <m/>
    <m/>
    <s v="11-15 Years"/>
    <s v="6-10 Years"/>
    <x v="2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x v="1"/>
    <n v="20"/>
    <n v="6"/>
    <n v="5"/>
    <n v="13"/>
    <n v="1"/>
    <m/>
    <m/>
    <s v="16-20 Years"/>
    <s v="3-5 Years"/>
    <x v="0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x v="1"/>
    <n v="8"/>
    <n v="3"/>
    <n v="0"/>
    <n v="7"/>
    <n v="1"/>
    <m/>
    <m/>
    <s v="6-10 Years"/>
    <s v="0-2 Years"/>
    <x v="0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x v="3"/>
    <n v="6"/>
    <n v="5"/>
    <n v="0"/>
    <n v="5"/>
    <n v="1"/>
    <m/>
    <m/>
    <s v="6-10 Years"/>
    <s v="0-2 Years"/>
    <x v="2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x v="2"/>
    <n v="10"/>
    <n v="9"/>
    <n v="5"/>
    <n v="8"/>
    <n v="1"/>
    <m/>
    <m/>
    <s v="6-10 Years"/>
    <s v="3-5 Years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x v="3"/>
    <n v="8"/>
    <n v="7"/>
    <n v="3"/>
    <n v="7"/>
    <n v="1"/>
    <m/>
    <m/>
    <s v="6-10 Years"/>
    <s v="3-5 Years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x v="2"/>
    <n v="7"/>
    <n v="7"/>
    <n v="1"/>
    <n v="0"/>
    <n v="1"/>
    <m/>
    <m/>
    <s v="6-10 Years"/>
    <s v="0-2 Years"/>
    <x v="2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x v="3"/>
    <n v="3"/>
    <n v="2"/>
    <n v="1"/>
    <n v="2"/>
    <n v="1"/>
    <m/>
    <m/>
    <s v="3-5 Years"/>
    <s v="0-2 Years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x v="1"/>
    <n v="6"/>
    <n v="1"/>
    <n v="0"/>
    <n v="5"/>
    <n v="1"/>
    <m/>
    <m/>
    <s v="6-10 Years"/>
    <s v="0-2 Years"/>
    <x v="2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x v="2"/>
    <n v="5"/>
    <n v="4"/>
    <n v="0"/>
    <n v="1"/>
    <n v="1"/>
    <m/>
    <m/>
    <s v="3-5 Years"/>
    <s v="0-2 Years"/>
    <x v="2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x v="1"/>
    <n v="0"/>
    <n v="0"/>
    <n v="0"/>
    <n v="0"/>
    <n v="1"/>
    <m/>
    <m/>
    <s v="0-2 Years"/>
    <s v="0-2 Years"/>
    <x v="4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x v="1"/>
    <n v="1"/>
    <n v="0"/>
    <n v="0"/>
    <n v="1"/>
    <n v="1"/>
    <m/>
    <m/>
    <s v="0-2 Years"/>
    <s v="0-2 Years"/>
    <x v="0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x v="1"/>
    <n v="8"/>
    <n v="7"/>
    <n v="0"/>
    <n v="7"/>
    <n v="1"/>
    <m/>
    <m/>
    <s v="6-10 Years"/>
    <s v="0-2 Years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x v="1"/>
    <n v="0"/>
    <n v="0"/>
    <n v="0"/>
    <n v="0"/>
    <n v="1"/>
    <m/>
    <m/>
    <s v="0-2 Years"/>
    <s v="0-2 Years"/>
    <x v="2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x v="1"/>
    <n v="5"/>
    <n v="4"/>
    <n v="0"/>
    <n v="3"/>
    <n v="1"/>
    <m/>
    <m/>
    <s v="3-5 Years"/>
    <s v="0-2 Years"/>
    <x v="2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x v="1"/>
    <n v="10"/>
    <n v="7"/>
    <n v="5"/>
    <n v="7"/>
    <n v="1"/>
    <m/>
    <m/>
    <s v="6-10 Years"/>
    <s v="3-5 Years"/>
    <x v="2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x v="0"/>
    <n v="1"/>
    <n v="0"/>
    <n v="0"/>
    <n v="0"/>
    <n v="1"/>
    <m/>
    <m/>
    <s v="0-2 Years"/>
    <s v="0-2 Years"/>
    <x v="2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x v="3"/>
    <n v="6"/>
    <n v="5"/>
    <n v="1"/>
    <n v="2"/>
    <n v="1"/>
    <m/>
    <m/>
    <s v="6-10 Years"/>
    <s v="0-2 Years"/>
    <x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x v="2"/>
    <n v="2"/>
    <n v="2"/>
    <n v="1"/>
    <n v="2"/>
    <n v="1"/>
    <m/>
    <m/>
    <s v="0-2 Years"/>
    <s v="0-2 Years"/>
    <x v="1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x v="1"/>
    <n v="18"/>
    <n v="16"/>
    <n v="11"/>
    <n v="8"/>
    <n v="1"/>
    <m/>
    <m/>
    <s v="16-20 Years"/>
    <s v="11-15 Years"/>
    <x v="0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x v="1"/>
    <n v="9"/>
    <n v="5"/>
    <n v="7"/>
    <n v="7"/>
    <n v="1"/>
    <m/>
    <m/>
    <s v="6-10 Years"/>
    <s v="6-10 Years"/>
    <x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x v="1"/>
    <n v="10"/>
    <n v="9"/>
    <n v="6"/>
    <n v="9"/>
    <n v="1"/>
    <m/>
    <m/>
    <s v="6-10 Years"/>
    <s v="6-10 Years"/>
    <x v="1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x v="1"/>
    <n v="4"/>
    <n v="2"/>
    <n v="1"/>
    <n v="2"/>
    <n v="1"/>
    <m/>
    <m/>
    <s v="3-5 Years"/>
    <s v="0-2 Years"/>
    <x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x v="1"/>
    <n v="2"/>
    <n v="2"/>
    <n v="2"/>
    <n v="1"/>
    <n v="1"/>
    <m/>
    <m/>
    <s v="0-2 Years"/>
    <s v="0-2 Years"/>
    <x v="4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x v="1"/>
    <n v="1"/>
    <n v="0"/>
    <n v="0"/>
    <n v="0"/>
    <n v="1"/>
    <m/>
    <m/>
    <s v="0-2 Years"/>
    <s v="0-2 Years"/>
    <x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x v="2"/>
    <n v="6"/>
    <n v="5"/>
    <n v="4"/>
    <n v="3"/>
    <n v="1"/>
    <m/>
    <m/>
    <s v="6-10 Years"/>
    <s v="3-5 Years"/>
    <x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x v="1"/>
    <n v="31"/>
    <n v="9"/>
    <n v="0"/>
    <n v="9"/>
    <n v="1"/>
    <m/>
    <m/>
    <s v="21+ Years"/>
    <s v="0-2 Years"/>
    <x v="1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x v="1"/>
    <n v="6"/>
    <n v="5"/>
    <n v="1"/>
    <n v="4"/>
    <n v="1"/>
    <m/>
    <m/>
    <s v="6-10 Years"/>
    <s v="0-2 Years"/>
    <x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x v="3"/>
    <n v="5"/>
    <n v="3"/>
    <n v="1"/>
    <n v="4"/>
    <n v="1"/>
    <m/>
    <m/>
    <s v="3-5 Years"/>
    <s v="0-2 Years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x v="1"/>
    <n v="1"/>
    <n v="0"/>
    <n v="0"/>
    <n v="0"/>
    <n v="1"/>
    <m/>
    <m/>
    <s v="0-2 Years"/>
    <s v="0-2 Years"/>
    <x v="4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x v="1"/>
    <n v="32"/>
    <n v="5"/>
    <n v="10"/>
    <n v="7"/>
    <n v="1"/>
    <m/>
    <m/>
    <s v="21+ Years"/>
    <s v="6-10 Years"/>
    <x v="1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x v="1"/>
    <n v="7"/>
    <n v="4"/>
    <n v="0"/>
    <n v="6"/>
    <n v="1"/>
    <m/>
    <m/>
    <s v="6-10 Years"/>
    <s v="0-2 Years"/>
    <x v="4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x v="1"/>
    <n v="6"/>
    <n v="3"/>
    <n v="1"/>
    <n v="2"/>
    <n v="1"/>
    <m/>
    <m/>
    <s v="6-10 Years"/>
    <s v="0-2 Years"/>
    <x v="4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x v="3"/>
    <n v="1"/>
    <n v="0"/>
    <n v="0"/>
    <n v="0"/>
    <n v="1"/>
    <m/>
    <m/>
    <s v="0-2 Years"/>
    <s v="0-2 Years"/>
    <x v="2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x v="1"/>
    <n v="6"/>
    <n v="5"/>
    <n v="1"/>
    <n v="3"/>
    <n v="1"/>
    <m/>
    <m/>
    <s v="6-10 Years"/>
    <s v="0-2 Years"/>
    <x v="2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x v="0"/>
    <n v="3"/>
    <n v="1"/>
    <n v="1"/>
    <n v="2"/>
    <n v="1"/>
    <m/>
    <m/>
    <s v="3-5 Years"/>
    <s v="0-2 Years"/>
    <x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x v="1"/>
    <n v="3"/>
    <n v="2"/>
    <n v="0"/>
    <n v="2"/>
    <n v="1"/>
    <m/>
    <m/>
    <s v="3-5 Years"/>
    <s v="0-2 Years"/>
    <x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x v="3"/>
    <n v="7"/>
    <n v="7"/>
    <n v="5"/>
    <n v="7"/>
    <n v="1"/>
    <m/>
    <m/>
    <s v="6-10 Years"/>
    <s v="3-5 Years"/>
    <x v="2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x v="2"/>
    <n v="5"/>
    <n v="3"/>
    <n v="0"/>
    <n v="3"/>
    <n v="1"/>
    <m/>
    <m/>
    <s v="3-5 Years"/>
    <s v="0-2 Years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x v="2"/>
    <n v="3"/>
    <n v="0"/>
    <n v="1"/>
    <n v="0"/>
    <n v="1"/>
    <m/>
    <m/>
    <s v="3-5 Years"/>
    <s v="0-2 Years"/>
    <x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x v="3"/>
    <n v="1"/>
    <n v="0"/>
    <n v="0"/>
    <n v="0"/>
    <n v="1"/>
    <m/>
    <m/>
    <s v="0-2 Years"/>
    <s v="0-2 Years"/>
    <x v="4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x v="1"/>
    <n v="10"/>
    <n v="2"/>
    <n v="2"/>
    <n v="2"/>
    <n v="1"/>
    <m/>
    <m/>
    <s v="6-10 Years"/>
    <s v="0-2 Years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x v="2"/>
    <n v="1"/>
    <n v="0"/>
    <n v="0"/>
    <n v="0"/>
    <n v="1"/>
    <m/>
    <m/>
    <s v="0-2 Years"/>
    <s v="0-2 Years"/>
    <x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x v="2"/>
    <n v="0"/>
    <n v="0"/>
    <n v="0"/>
    <n v="0"/>
    <n v="1"/>
    <m/>
    <m/>
    <s v="0-2 Years"/>
    <s v="0-2 Years"/>
    <x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x v="1"/>
    <n v="8"/>
    <n v="7"/>
    <n v="4"/>
    <n v="7"/>
    <n v="1"/>
    <m/>
    <m/>
    <s v="6-10 Years"/>
    <s v="3-5 Years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x v="0"/>
    <n v="3"/>
    <n v="2"/>
    <n v="0"/>
    <n v="2"/>
    <n v="1"/>
    <m/>
    <m/>
    <s v="3-5 Years"/>
    <s v="0-2 Years"/>
    <x v="1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x v="3"/>
    <n v="2"/>
    <n v="2"/>
    <n v="0"/>
    <n v="2"/>
    <n v="1"/>
    <m/>
    <m/>
    <s v="0-2 Years"/>
    <s v="0-2 Years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x v="1"/>
    <n v="8"/>
    <n v="2"/>
    <n v="0"/>
    <n v="6"/>
    <n v="1"/>
    <m/>
    <m/>
    <s v="6-10 Years"/>
    <s v="0-2 Years"/>
    <x v="2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x v="1"/>
    <n v="4"/>
    <n v="3"/>
    <n v="0"/>
    <n v="2"/>
    <n v="1"/>
    <m/>
    <m/>
    <s v="3-5 Years"/>
    <s v="0-2 Years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x v="1"/>
    <n v="3"/>
    <n v="2"/>
    <n v="1"/>
    <n v="2"/>
    <n v="1"/>
    <m/>
    <m/>
    <s v="3-5 Years"/>
    <s v="0-2 Years"/>
    <x v="4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x v="3"/>
    <n v="2"/>
    <n v="2"/>
    <n v="0"/>
    <n v="1"/>
    <n v="1"/>
    <m/>
    <m/>
    <s v="0-2 Years"/>
    <s v="0-2 Years"/>
    <x v="0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x v="1"/>
    <n v="2"/>
    <n v="2"/>
    <n v="2"/>
    <n v="2"/>
    <n v="1"/>
    <m/>
    <m/>
    <s v="0-2 Years"/>
    <s v="0-2 Years"/>
    <x v="4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x v="1"/>
    <n v="5"/>
    <n v="0"/>
    <n v="1"/>
    <n v="2"/>
    <n v="1"/>
    <m/>
    <m/>
    <s v="3-5 Years"/>
    <s v="0-2 Years"/>
    <x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x v="2"/>
    <n v="6"/>
    <n v="4"/>
    <n v="0"/>
    <n v="5"/>
    <n v="1"/>
    <m/>
    <m/>
    <s v="6-10 Years"/>
    <s v="0-2 Years"/>
    <x v="2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x v="1"/>
    <n v="1"/>
    <n v="0"/>
    <n v="0"/>
    <n v="0"/>
    <n v="1"/>
    <m/>
    <m/>
    <s v="0-2 Years"/>
    <s v="0-2 Years"/>
    <x v="2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x v="3"/>
    <n v="14"/>
    <n v="7"/>
    <n v="8"/>
    <n v="10"/>
    <n v="1"/>
    <m/>
    <m/>
    <s v="11-15 Years"/>
    <s v="6-10 Years"/>
    <x v="1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x v="2"/>
    <n v="10"/>
    <n v="9"/>
    <n v="8"/>
    <n v="8"/>
    <n v="1"/>
    <m/>
    <m/>
    <s v="6-10 Years"/>
    <s v="6-10 Years"/>
    <x v="2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x v="1"/>
    <n v="1"/>
    <n v="1"/>
    <n v="0"/>
    <n v="0"/>
    <n v="1"/>
    <m/>
    <m/>
    <s v="0-2 Years"/>
    <s v="0-2 Years"/>
    <x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x v="1"/>
    <n v="3"/>
    <n v="2"/>
    <n v="0"/>
    <n v="2"/>
    <n v="1"/>
    <m/>
    <m/>
    <s v="3-5 Years"/>
    <s v="0-2 Years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x v="1"/>
    <n v="10"/>
    <n v="7"/>
    <n v="7"/>
    <n v="8"/>
    <n v="1"/>
    <m/>
    <m/>
    <s v="6-10 Years"/>
    <s v="6-10 Years"/>
    <x v="0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x v="2"/>
    <n v="6"/>
    <n v="0"/>
    <n v="1"/>
    <n v="2"/>
    <n v="1"/>
    <m/>
    <m/>
    <s v="6-10 Years"/>
    <s v="0-2 Years"/>
    <x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x v="1"/>
    <n v="17"/>
    <n v="11"/>
    <n v="11"/>
    <n v="8"/>
    <n v="1"/>
    <m/>
    <m/>
    <s v="16-20 Years"/>
    <s v="11-15 Years"/>
    <x v="2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x v="0"/>
    <n v="13"/>
    <n v="11"/>
    <n v="4"/>
    <n v="7"/>
    <n v="1"/>
    <m/>
    <m/>
    <s v="11-15 Years"/>
    <s v="3-5 Years"/>
    <x v="2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x v="3"/>
    <n v="9"/>
    <n v="7"/>
    <n v="7"/>
    <n v="1"/>
    <n v="1"/>
    <m/>
    <m/>
    <s v="6-10 Years"/>
    <s v="6-10 Years"/>
    <x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x v="1"/>
    <n v="3"/>
    <n v="2"/>
    <n v="0"/>
    <n v="2"/>
    <n v="1"/>
    <m/>
    <m/>
    <s v="3-5 Years"/>
    <s v="0-2 Years"/>
    <x v="0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x v="1"/>
    <n v="4"/>
    <n v="2"/>
    <n v="1"/>
    <n v="1"/>
    <n v="1"/>
    <m/>
    <m/>
    <s v="3-5 Years"/>
    <s v="0-2 Years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x v="1"/>
    <n v="1"/>
    <n v="0"/>
    <n v="1"/>
    <n v="1"/>
    <n v="1"/>
    <m/>
    <m/>
    <s v="0-2 Years"/>
    <s v="0-2 Years"/>
    <x v="4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x v="1"/>
    <n v="10"/>
    <n v="8"/>
    <n v="9"/>
    <n v="7"/>
    <n v="1"/>
    <m/>
    <m/>
    <s v="6-10 Years"/>
    <s v="6-10 Years"/>
    <x v="2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x v="1"/>
    <n v="1"/>
    <n v="0"/>
    <n v="0"/>
    <n v="0"/>
    <n v="1"/>
    <m/>
    <m/>
    <s v="0-2 Years"/>
    <s v="0-2 Years"/>
    <x v="2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x v="3"/>
    <n v="3"/>
    <n v="2"/>
    <n v="0"/>
    <n v="2"/>
    <n v="1"/>
    <m/>
    <m/>
    <s v="3-5 Years"/>
    <s v="0-2 Years"/>
    <x v="4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x v="1"/>
    <n v="3"/>
    <n v="2"/>
    <n v="1"/>
    <n v="2"/>
    <n v="1"/>
    <m/>
    <m/>
    <s v="3-5 Years"/>
    <s v="0-2 Years"/>
    <x v="4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x v="1"/>
    <n v="7"/>
    <n v="7"/>
    <n v="0"/>
    <n v="5"/>
    <n v="1"/>
    <m/>
    <m/>
    <s v="6-10 Years"/>
    <s v="0-2 Years"/>
    <x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x v="1"/>
    <n v="10"/>
    <n v="7"/>
    <n v="2"/>
    <n v="8"/>
    <n v="1"/>
    <m/>
    <m/>
    <s v="6-10 Years"/>
    <s v="0-2 Years"/>
    <x v="2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x v="1"/>
    <n v="2"/>
    <n v="2"/>
    <n v="2"/>
    <n v="2"/>
    <n v="1"/>
    <m/>
    <m/>
    <s v="0-2 Years"/>
    <s v="0-2 Years"/>
    <x v="1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x v="1"/>
    <n v="6"/>
    <n v="5"/>
    <n v="0"/>
    <n v="4"/>
    <n v="1"/>
    <m/>
    <m/>
    <s v="6-10 Years"/>
    <s v="0-2 Years"/>
    <x v="2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x v="1"/>
    <n v="1"/>
    <n v="0"/>
    <n v="0"/>
    <n v="0"/>
    <n v="1"/>
    <m/>
    <m/>
    <s v="0-2 Years"/>
    <s v="0-2 Years"/>
    <x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x v="1"/>
    <n v="20"/>
    <n v="8"/>
    <n v="3"/>
    <n v="8"/>
    <n v="1"/>
    <m/>
    <m/>
    <s v="16-20 Years"/>
    <s v="3-5 Years"/>
    <x v="1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x v="3"/>
    <n v="8"/>
    <n v="7"/>
    <n v="7"/>
    <n v="7"/>
    <n v="1"/>
    <m/>
    <m/>
    <s v="6-10 Years"/>
    <s v="6-10 Years"/>
    <x v="2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x v="1"/>
    <n v="2"/>
    <n v="2"/>
    <n v="2"/>
    <n v="0"/>
    <n v="1"/>
    <m/>
    <m/>
    <s v="0-2 Years"/>
    <s v="0-2 Years"/>
    <x v="4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x v="1"/>
    <n v="20"/>
    <n v="7"/>
    <n v="11"/>
    <n v="10"/>
    <n v="1"/>
    <m/>
    <m/>
    <s v="16-20 Years"/>
    <s v="11-15 Years"/>
    <x v="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x v="2"/>
    <n v="10"/>
    <n v="7"/>
    <n v="0"/>
    <n v="8"/>
    <n v="1"/>
    <m/>
    <m/>
    <s v="6-10 Years"/>
    <s v="0-2 Years"/>
    <x v="2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x v="1"/>
    <n v="4"/>
    <n v="3"/>
    <n v="1"/>
    <n v="3"/>
    <n v="1"/>
    <m/>
    <m/>
    <s v="3-5 Years"/>
    <s v="0-2 Years"/>
    <x v="1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x v="2"/>
    <n v="9"/>
    <n v="7"/>
    <n v="1"/>
    <n v="8"/>
    <n v="1"/>
    <m/>
    <m/>
    <s v="6-10 Years"/>
    <s v="0-2 Years"/>
    <x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x v="1"/>
    <n v="9"/>
    <n v="7"/>
    <n v="0"/>
    <n v="7"/>
    <n v="1"/>
    <m/>
    <m/>
    <s v="6-10 Years"/>
    <s v="0-2 Years"/>
    <x v="2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x v="1"/>
    <n v="7"/>
    <n v="7"/>
    <n v="7"/>
    <n v="7"/>
    <n v="1"/>
    <m/>
    <m/>
    <s v="6-10 Years"/>
    <s v="6-10 Years"/>
    <x v="2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x v="1"/>
    <n v="7"/>
    <n v="7"/>
    <n v="1"/>
    <n v="7"/>
    <n v="1"/>
    <m/>
    <m/>
    <s v="6-10 Years"/>
    <s v="0-2 Years"/>
    <x v="1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x v="1"/>
    <n v="18"/>
    <n v="13"/>
    <n v="1"/>
    <n v="12"/>
    <n v="1"/>
    <m/>
    <m/>
    <s v="16-20 Years"/>
    <s v="0-2 Years"/>
    <x v="0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x v="1"/>
    <n v="5"/>
    <n v="1"/>
    <n v="1"/>
    <n v="3"/>
    <n v="1"/>
    <m/>
    <m/>
    <s v="3-5 Years"/>
    <s v="0-2 Years"/>
    <x v="1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x v="2"/>
    <n v="21"/>
    <n v="6"/>
    <n v="12"/>
    <n v="6"/>
    <n v="1"/>
    <m/>
    <m/>
    <s v="21+ Years"/>
    <s v="11-15 Years"/>
    <x v="0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x v="1"/>
    <n v="2"/>
    <n v="2"/>
    <n v="2"/>
    <n v="2"/>
    <n v="1"/>
    <m/>
    <m/>
    <s v="0-2 Years"/>
    <s v="0-2 Years"/>
    <x v="3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x v="2"/>
    <n v="9"/>
    <n v="7"/>
    <n v="1"/>
    <n v="7"/>
    <n v="1"/>
    <m/>
    <m/>
    <s v="6-10 Years"/>
    <s v="0-2 Years"/>
    <x v="2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x v="1"/>
    <n v="22"/>
    <n v="7"/>
    <n v="2"/>
    <n v="10"/>
    <n v="1"/>
    <m/>
    <m/>
    <s v="21+ Years"/>
    <s v="0-2 Years"/>
    <x v="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x v="1"/>
    <n v="2"/>
    <n v="2"/>
    <n v="2"/>
    <n v="2"/>
    <n v="1"/>
    <m/>
    <m/>
    <s v="0-2 Years"/>
    <s v="0-2 Years"/>
    <x v="1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x v="1"/>
    <n v="7"/>
    <n v="7"/>
    <n v="3"/>
    <n v="7"/>
    <n v="1"/>
    <m/>
    <m/>
    <s v="6-10 Years"/>
    <s v="3-5 Years"/>
    <x v="2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x v="1"/>
    <n v="8"/>
    <n v="7"/>
    <n v="0"/>
    <n v="5"/>
    <n v="1"/>
    <m/>
    <m/>
    <s v="6-10 Years"/>
    <s v="0-2 Years"/>
    <x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x v="3"/>
    <n v="1"/>
    <n v="0"/>
    <n v="0"/>
    <n v="0"/>
    <n v="1"/>
    <m/>
    <m/>
    <s v="0-2 Years"/>
    <s v="0-2 Years"/>
    <x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x v="1"/>
    <n v="5"/>
    <n v="2"/>
    <n v="1"/>
    <n v="4"/>
    <n v="1"/>
    <m/>
    <m/>
    <s v="3-5 Years"/>
    <s v="0-2 Years"/>
    <x v="0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x v="2"/>
    <n v="22"/>
    <n v="2"/>
    <n v="11"/>
    <n v="13"/>
    <n v="1"/>
    <m/>
    <m/>
    <s v="21+ Years"/>
    <s v="11-15 Years"/>
    <x v="1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x v="2"/>
    <n v="8"/>
    <n v="7"/>
    <n v="7"/>
    <n v="7"/>
    <n v="1"/>
    <m/>
    <m/>
    <s v="6-10 Years"/>
    <s v="6-10 Years"/>
    <x v="2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x v="1"/>
    <n v="1"/>
    <n v="0"/>
    <n v="0"/>
    <n v="0"/>
    <n v="1"/>
    <m/>
    <m/>
    <s v="0-2 Years"/>
    <s v="0-2 Years"/>
    <x v="2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x v="1"/>
    <n v="2"/>
    <n v="2"/>
    <n v="2"/>
    <n v="2"/>
    <n v="1"/>
    <m/>
    <m/>
    <s v="0-2 Years"/>
    <s v="0-2 Years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x v="1"/>
    <n v="2"/>
    <n v="2"/>
    <n v="2"/>
    <n v="2"/>
    <n v="1"/>
    <m/>
    <m/>
    <s v="0-2 Years"/>
    <s v="0-2 Years"/>
    <x v="0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x v="1"/>
    <n v="5"/>
    <n v="1"/>
    <n v="4"/>
    <n v="3"/>
    <n v="1"/>
    <m/>
    <m/>
    <s v="3-5 Years"/>
    <s v="3-5 Years"/>
    <x v="2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x v="3"/>
    <n v="4"/>
    <n v="3"/>
    <n v="0"/>
    <n v="2"/>
    <n v="1"/>
    <m/>
    <m/>
    <s v="3-5 Years"/>
    <s v="0-2 Years"/>
    <x v="4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x v="0"/>
    <n v="8"/>
    <n v="3"/>
    <n v="3"/>
    <n v="6"/>
    <n v="1"/>
    <m/>
    <m/>
    <s v="6-10 Years"/>
    <s v="3-5 Years"/>
    <x v="0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x v="2"/>
    <n v="10"/>
    <n v="7"/>
    <n v="1"/>
    <n v="1"/>
    <n v="1"/>
    <m/>
    <m/>
    <s v="6-10 Years"/>
    <s v="0-2 Years"/>
    <x v="3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x v="2"/>
    <n v="4"/>
    <n v="2"/>
    <n v="2"/>
    <n v="3"/>
    <n v="1"/>
    <m/>
    <m/>
    <s v="3-5 Years"/>
    <s v="0-2 Years"/>
    <x v="0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x v="0"/>
    <n v="7"/>
    <n v="6"/>
    <n v="0"/>
    <n v="7"/>
    <n v="1"/>
    <m/>
    <m/>
    <s v="6-10 Years"/>
    <s v="0-2 Years"/>
    <x v="2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x v="1"/>
    <n v="2"/>
    <n v="2"/>
    <n v="2"/>
    <n v="2"/>
    <n v="1"/>
    <m/>
    <m/>
    <s v="0-2 Years"/>
    <s v="0-2 Years"/>
    <x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x v="1"/>
    <n v="2"/>
    <n v="2"/>
    <n v="2"/>
    <n v="2"/>
    <n v="1"/>
    <m/>
    <m/>
    <s v="0-2 Years"/>
    <s v="0-2 Years"/>
    <x v="1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x v="3"/>
    <n v="1"/>
    <n v="0"/>
    <n v="0"/>
    <n v="0"/>
    <n v="1"/>
    <m/>
    <m/>
    <s v="0-2 Years"/>
    <s v="0-2 Years"/>
    <x v="2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x v="1"/>
    <n v="10"/>
    <n v="8"/>
    <n v="4"/>
    <n v="7"/>
    <n v="1"/>
    <m/>
    <m/>
    <s v="6-10 Years"/>
    <s v="3-5 Years"/>
    <x v="2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x v="0"/>
    <n v="1"/>
    <n v="0"/>
    <n v="0"/>
    <n v="1"/>
    <n v="1"/>
    <m/>
    <m/>
    <s v="0-2 Years"/>
    <s v="0-2 Years"/>
    <x v="0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x v="1"/>
    <n v="0"/>
    <n v="0"/>
    <n v="0"/>
    <n v="0"/>
    <n v="1"/>
    <m/>
    <m/>
    <s v="0-2 Years"/>
    <s v="0-2 Years"/>
    <x v="2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x v="3"/>
    <n v="34"/>
    <n v="6"/>
    <n v="1"/>
    <n v="16"/>
    <n v="1"/>
    <m/>
    <m/>
    <s v="21+ Years"/>
    <s v="0-2 Years"/>
    <x v="1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x v="2"/>
    <n v="10"/>
    <n v="9"/>
    <n v="7"/>
    <n v="8"/>
    <n v="1"/>
    <m/>
    <m/>
    <s v="6-10 Years"/>
    <s v="6-10 Years"/>
    <x v="2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x v="2"/>
    <n v="6"/>
    <n v="5"/>
    <n v="1"/>
    <n v="4"/>
    <n v="1"/>
    <m/>
    <m/>
    <s v="6-10 Years"/>
    <s v="0-2 Years"/>
    <x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x v="1"/>
    <n v="8"/>
    <n v="7"/>
    <n v="3"/>
    <n v="1"/>
    <n v="1"/>
    <m/>
    <m/>
    <s v="6-10 Years"/>
    <s v="3-5 Years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x v="1"/>
    <n v="2"/>
    <n v="2"/>
    <n v="0"/>
    <n v="2"/>
    <n v="1"/>
    <m/>
    <m/>
    <s v="0-2 Years"/>
    <s v="0-2 Years"/>
    <x v="4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x v="1"/>
    <n v="5"/>
    <n v="4"/>
    <n v="1"/>
    <n v="3"/>
    <n v="1"/>
    <m/>
    <m/>
    <s v="3-5 Years"/>
    <s v="0-2 Years"/>
    <x v="1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x v="1"/>
    <n v="6"/>
    <n v="5"/>
    <n v="1"/>
    <n v="4"/>
    <n v="1"/>
    <m/>
    <m/>
    <s v="6-10 Years"/>
    <s v="0-2 Years"/>
    <x v="2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x v="1"/>
    <n v="5"/>
    <n v="2"/>
    <n v="1"/>
    <n v="4"/>
    <n v="1"/>
    <m/>
    <m/>
    <s v="3-5 Years"/>
    <s v="0-2 Years"/>
    <x v="1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x v="1"/>
    <n v="10"/>
    <n v="7"/>
    <n v="0"/>
    <n v="9"/>
    <n v="1"/>
    <m/>
    <m/>
    <s v="6-10 Years"/>
    <s v="0-2 Years"/>
    <x v="0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x v="1"/>
    <n v="4"/>
    <n v="3"/>
    <n v="1"/>
    <n v="2"/>
    <n v="1"/>
    <m/>
    <m/>
    <s v="3-5 Years"/>
    <s v="0-2 Years"/>
    <x v="1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x v="1"/>
    <n v="2"/>
    <n v="2"/>
    <n v="2"/>
    <n v="0"/>
    <n v="1"/>
    <m/>
    <m/>
    <s v="0-2 Years"/>
    <s v="0-2 Years"/>
    <x v="2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x v="2"/>
    <n v="8"/>
    <n v="7"/>
    <n v="1"/>
    <n v="1"/>
    <n v="1"/>
    <m/>
    <m/>
    <s v="6-10 Years"/>
    <s v="0-2 Years"/>
    <x v="2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x v="2"/>
    <n v="4"/>
    <n v="3"/>
    <n v="1"/>
    <n v="2"/>
    <n v="1"/>
    <m/>
    <m/>
    <s v="3-5 Years"/>
    <s v="0-2 Years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x v="1"/>
    <n v="4"/>
    <n v="2"/>
    <n v="1"/>
    <n v="3"/>
    <n v="1"/>
    <m/>
    <m/>
    <s v="3-5 Years"/>
    <s v="0-2 Years"/>
    <x v="2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x v="1"/>
    <n v="5"/>
    <n v="3"/>
    <n v="1"/>
    <n v="4"/>
    <n v="1"/>
    <m/>
    <m/>
    <s v="3-5 Years"/>
    <s v="0-2 Years"/>
    <x v="1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x v="1"/>
    <n v="4"/>
    <n v="2"/>
    <n v="1"/>
    <n v="1"/>
    <n v="1"/>
    <m/>
    <m/>
    <s v="3-5 Years"/>
    <s v="0-2 Years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x v="2"/>
    <n v="5"/>
    <n v="3"/>
    <n v="4"/>
    <n v="3"/>
    <n v="1"/>
    <m/>
    <m/>
    <s v="3-5 Years"/>
    <s v="3-5 Years"/>
    <x v="0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x v="1"/>
    <n v="15"/>
    <n v="7"/>
    <n v="4"/>
    <n v="12"/>
    <n v="1"/>
    <m/>
    <m/>
    <s v="11-15 Years"/>
    <s v="3-5 Years"/>
    <x v="0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x v="1"/>
    <n v="6"/>
    <n v="5"/>
    <n v="1"/>
    <n v="3"/>
    <n v="1"/>
    <m/>
    <m/>
    <s v="6-10 Years"/>
    <s v="0-2 Years"/>
    <x v="2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x v="2"/>
    <n v="3"/>
    <n v="2"/>
    <n v="0"/>
    <n v="2"/>
    <n v="1"/>
    <m/>
    <m/>
    <s v="3-5 Years"/>
    <s v="0-2 Years"/>
    <x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x v="1"/>
    <n v="2"/>
    <n v="2"/>
    <n v="0"/>
    <n v="2"/>
    <n v="1"/>
    <m/>
    <m/>
    <s v="0-2 Years"/>
    <s v="0-2 Years"/>
    <x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x v="1"/>
    <n v="8"/>
    <n v="7"/>
    <n v="3"/>
    <n v="7"/>
    <n v="1"/>
    <m/>
    <m/>
    <s v="6-10 Years"/>
    <s v="3-5 Years"/>
    <x v="0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x v="1"/>
    <n v="3"/>
    <n v="2"/>
    <n v="1"/>
    <n v="2"/>
    <n v="1"/>
    <m/>
    <m/>
    <s v="3-5 Years"/>
    <s v="0-2 Years"/>
    <x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x v="2"/>
    <n v="24"/>
    <n v="7"/>
    <n v="14"/>
    <n v="9"/>
    <n v="1"/>
    <m/>
    <m/>
    <s v="21+ Years"/>
    <s v="11-15 Years"/>
    <x v="0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x v="1"/>
    <n v="0"/>
    <n v="0"/>
    <n v="0"/>
    <n v="0"/>
    <n v="1"/>
    <m/>
    <m/>
    <s v="0-2 Years"/>
    <s v="0-2 Years"/>
    <x v="4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x v="1"/>
    <n v="1"/>
    <n v="0"/>
    <n v="0"/>
    <n v="0"/>
    <n v="1"/>
    <m/>
    <m/>
    <s v="0-2 Years"/>
    <s v="0-2 Years"/>
    <x v="4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x v="1"/>
    <n v="5"/>
    <n v="2"/>
    <n v="1"/>
    <n v="4"/>
    <n v="1"/>
    <m/>
    <m/>
    <s v="3-5 Years"/>
    <s v="0-2 Years"/>
    <x v="1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x v="1"/>
    <n v="4"/>
    <n v="3"/>
    <n v="0"/>
    <n v="3"/>
    <n v="1"/>
    <m/>
    <m/>
    <s v="3-5 Years"/>
    <s v="0-2 Years"/>
    <x v="1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x v="1"/>
    <n v="1"/>
    <n v="0"/>
    <n v="0"/>
    <n v="0"/>
    <n v="1"/>
    <m/>
    <m/>
    <s v="0-2 Years"/>
    <s v="0-2 Years"/>
    <x v="2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x v="3"/>
    <n v="13"/>
    <n v="9"/>
    <n v="3"/>
    <n v="7"/>
    <n v="1"/>
    <m/>
    <m/>
    <s v="11-15 Years"/>
    <s v="3-5 Years"/>
    <x v="2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x v="1"/>
    <n v="3"/>
    <n v="2"/>
    <n v="0"/>
    <n v="2"/>
    <n v="1"/>
    <m/>
    <m/>
    <s v="3-5 Years"/>
    <s v="0-2 Years"/>
    <x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x v="2"/>
    <n v="26"/>
    <n v="14"/>
    <n v="3"/>
    <n v="0"/>
    <n v="1"/>
    <m/>
    <m/>
    <s v="21+ Years"/>
    <s v="3-5 Years"/>
    <x v="1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x v="1"/>
    <n v="9"/>
    <n v="7"/>
    <n v="0"/>
    <n v="5"/>
    <n v="1"/>
    <m/>
    <m/>
    <s v="6-10 Years"/>
    <s v="0-2 Years"/>
    <x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x v="1"/>
    <n v="10"/>
    <n v="7"/>
    <n v="0"/>
    <n v="7"/>
    <n v="1"/>
    <m/>
    <m/>
    <s v="6-10 Years"/>
    <s v="0-2 Years"/>
    <x v="2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x v="1"/>
    <n v="31"/>
    <n v="15"/>
    <n v="13"/>
    <n v="8"/>
    <n v="1"/>
    <m/>
    <m/>
    <s v="21+ Years"/>
    <s v="11-15 Years"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x v="1"/>
    <n v="2"/>
    <n v="2"/>
    <n v="2"/>
    <n v="2"/>
    <n v="1"/>
    <m/>
    <m/>
    <s v="0-2 Years"/>
    <s v="0-2 Years"/>
    <x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x v="1"/>
    <n v="4"/>
    <n v="3"/>
    <n v="0"/>
    <n v="2"/>
    <n v="1"/>
    <m/>
    <m/>
    <s v="3-5 Years"/>
    <s v="0-2 Years"/>
    <x v="0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x v="2"/>
    <n v="2"/>
    <n v="2"/>
    <n v="2"/>
    <n v="1"/>
    <n v="1"/>
    <m/>
    <m/>
    <s v="0-2 Years"/>
    <s v="0-2 Years"/>
    <x v="2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x v="1"/>
    <n v="5"/>
    <n v="2"/>
    <n v="0"/>
    <n v="4"/>
    <n v="1"/>
    <m/>
    <m/>
    <s v="3-5 Years"/>
    <s v="0-2 Years"/>
    <x v="0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x v="1"/>
    <n v="14"/>
    <n v="13"/>
    <n v="6"/>
    <n v="8"/>
    <n v="1"/>
    <m/>
    <m/>
    <s v="11-15 Years"/>
    <s v="6-10 Years"/>
    <x v="2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x v="1"/>
    <n v="1"/>
    <n v="0"/>
    <n v="0"/>
    <n v="0"/>
    <n v="1"/>
    <m/>
    <m/>
    <s v="0-2 Years"/>
    <s v="0-2 Years"/>
    <x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x v="2"/>
    <n v="0"/>
    <n v="0"/>
    <n v="0"/>
    <n v="0"/>
    <n v="1"/>
    <m/>
    <m/>
    <s v="0-2 Years"/>
    <s v="0-2 Years"/>
    <x v="2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x v="1"/>
    <n v="1"/>
    <n v="0"/>
    <n v="0"/>
    <n v="0"/>
    <n v="1"/>
    <m/>
    <m/>
    <s v="0-2 Years"/>
    <s v="0-2 Years"/>
    <x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x v="2"/>
    <n v="9"/>
    <n v="8"/>
    <n v="7"/>
    <n v="8"/>
    <n v="1"/>
    <m/>
    <m/>
    <s v="6-10 Years"/>
    <s v="6-10 Years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x v="2"/>
    <n v="4"/>
    <n v="3"/>
    <n v="1"/>
    <n v="2"/>
    <n v="1"/>
    <m/>
    <m/>
    <s v="3-5 Years"/>
    <s v="0-2 Years"/>
    <x v="0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x v="1"/>
    <n v="5"/>
    <n v="2"/>
    <n v="1"/>
    <n v="3"/>
    <n v="1"/>
    <m/>
    <m/>
    <s v="3-5 Years"/>
    <s v="0-2 Years"/>
    <x v="2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x v="3"/>
    <n v="9"/>
    <n v="8"/>
    <n v="7"/>
    <n v="7"/>
    <n v="1"/>
    <m/>
    <m/>
    <s v="6-10 Years"/>
    <s v="6-10 Years"/>
    <x v="1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x v="2"/>
    <n v="9"/>
    <n v="7"/>
    <n v="7"/>
    <n v="3"/>
    <n v="1"/>
    <m/>
    <m/>
    <s v="6-10 Years"/>
    <s v="6-10 Years"/>
    <x v="1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x v="1"/>
    <n v="4"/>
    <n v="1"/>
    <n v="1"/>
    <n v="0"/>
    <n v="1"/>
    <m/>
    <m/>
    <s v="3-5 Years"/>
    <s v="0-2 Years"/>
    <x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x v="1"/>
    <n v="9"/>
    <n v="8"/>
    <n v="0"/>
    <n v="8"/>
    <n v="1"/>
    <m/>
    <m/>
    <s v="6-10 Years"/>
    <s v="0-2 Years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x v="3"/>
    <n v="8"/>
    <n v="5"/>
    <n v="1"/>
    <n v="6"/>
    <n v="1"/>
    <m/>
    <m/>
    <s v="6-10 Years"/>
    <s v="0-2 Years"/>
    <x v="2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x v="1"/>
    <n v="8"/>
    <n v="7"/>
    <n v="7"/>
    <n v="5"/>
    <n v="1"/>
    <m/>
    <m/>
    <s v="6-10 Years"/>
    <s v="6-10 Years"/>
    <x v="2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x v="0"/>
    <n v="3"/>
    <n v="2"/>
    <n v="0"/>
    <n v="2"/>
    <n v="1"/>
    <m/>
    <m/>
    <s v="3-5 Years"/>
    <s v="0-2 Years"/>
    <x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x v="1"/>
    <n v="8"/>
    <n v="7"/>
    <n v="1"/>
    <n v="7"/>
    <n v="1"/>
    <m/>
    <m/>
    <s v="6-10 Years"/>
    <s v="0-2 Years"/>
    <x v="2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x v="2"/>
    <n v="0"/>
    <n v="0"/>
    <n v="0"/>
    <n v="0"/>
    <n v="1"/>
    <m/>
    <m/>
    <s v="0-2 Years"/>
    <s v="0-2 Years"/>
    <x v="2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x v="2"/>
    <n v="20"/>
    <n v="6"/>
    <n v="4"/>
    <n v="17"/>
    <n v="1"/>
    <m/>
    <m/>
    <s v="16-20 Years"/>
    <s v="3-5 Years"/>
    <x v="1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x v="2"/>
    <n v="5"/>
    <n v="2"/>
    <n v="2"/>
    <n v="3"/>
    <n v="1"/>
    <m/>
    <m/>
    <s v="3-5 Years"/>
    <s v="0-2 Years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x v="2"/>
    <n v="4"/>
    <n v="3"/>
    <n v="0"/>
    <n v="1"/>
    <n v="1"/>
    <m/>
    <m/>
    <s v="3-5 Years"/>
    <s v="0-2 Years"/>
    <x v="4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x v="1"/>
    <n v="9"/>
    <n v="8"/>
    <n v="0"/>
    <n v="8"/>
    <n v="1"/>
    <m/>
    <m/>
    <s v="6-10 Years"/>
    <s v="0-2 Years"/>
    <x v="2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x v="2"/>
    <n v="6"/>
    <n v="5"/>
    <n v="1"/>
    <n v="1"/>
    <n v="1"/>
    <m/>
    <m/>
    <s v="6-10 Years"/>
    <s v="0-2 Years"/>
    <x v="2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x v="2"/>
    <n v="18"/>
    <n v="14"/>
    <n v="4"/>
    <n v="11"/>
    <n v="1"/>
    <m/>
    <m/>
    <s v="16-20 Years"/>
    <s v="3-5 Years"/>
    <x v="0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x v="2"/>
    <n v="5"/>
    <n v="2"/>
    <n v="0"/>
    <n v="3"/>
    <n v="1"/>
    <m/>
    <m/>
    <s v="3-5 Years"/>
    <s v="0-2 Years"/>
    <x v="2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x v="2"/>
    <n v="5"/>
    <n v="4"/>
    <n v="0"/>
    <n v="3"/>
    <n v="1"/>
    <m/>
    <m/>
    <s v="3-5 Years"/>
    <s v="0-2 Years"/>
    <x v="2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x v="1"/>
    <n v="5"/>
    <n v="2"/>
    <n v="0"/>
    <n v="4"/>
    <n v="1"/>
    <m/>
    <m/>
    <s v="3-5 Years"/>
    <s v="0-2 Years"/>
    <x v="1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x v="1"/>
    <n v="5"/>
    <n v="4"/>
    <n v="0"/>
    <n v="2"/>
    <n v="1"/>
    <m/>
    <m/>
    <s v="3-5 Years"/>
    <s v="0-2 Years"/>
    <x v="0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x v="2"/>
    <n v="5"/>
    <n v="3"/>
    <n v="1"/>
    <n v="3"/>
    <n v="1"/>
    <m/>
    <m/>
    <s v="3-5 Years"/>
    <s v="0-2 Years"/>
    <x v="2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x v="1"/>
    <n v="9"/>
    <n v="8"/>
    <n v="0"/>
    <n v="0"/>
    <n v="1"/>
    <m/>
    <m/>
    <s v="6-10 Years"/>
    <s v="0-2 Years"/>
    <x v="1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x v="1"/>
    <n v="1"/>
    <n v="0"/>
    <n v="0"/>
    <n v="0"/>
    <n v="1"/>
    <m/>
    <m/>
    <s v="0-2 Years"/>
    <s v="0-2 Years"/>
    <x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x v="1"/>
    <n v="5"/>
    <n v="1"/>
    <n v="0"/>
    <n v="4"/>
    <n v="1"/>
    <m/>
    <m/>
    <s v="3-5 Years"/>
    <s v="0-2 Years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x v="0"/>
    <n v="2"/>
    <n v="2"/>
    <n v="2"/>
    <n v="2"/>
    <n v="1"/>
    <m/>
    <m/>
    <s v="0-2 Years"/>
    <s v="0-2 Years"/>
    <x v="4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x v="2"/>
    <n v="3"/>
    <n v="2"/>
    <n v="0"/>
    <n v="2"/>
    <n v="1"/>
    <m/>
    <m/>
    <s v="3-5 Years"/>
    <s v="0-2 Years"/>
    <x v="0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x v="1"/>
    <n v="2"/>
    <n v="1"/>
    <n v="2"/>
    <n v="2"/>
    <n v="1"/>
    <m/>
    <m/>
    <s v="0-2 Years"/>
    <s v="0-2 Years"/>
    <x v="0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x v="1"/>
    <n v="5"/>
    <n v="4"/>
    <n v="0"/>
    <n v="3"/>
    <n v="1"/>
    <m/>
    <m/>
    <s v="3-5 Years"/>
    <s v="0-2 Years"/>
    <x v="0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x v="1"/>
    <n v="5"/>
    <n v="3"/>
    <n v="0"/>
    <n v="3"/>
    <n v="1"/>
    <m/>
    <m/>
    <s v="3-5 Years"/>
    <s v="0-2 Years"/>
    <x v="4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x v="1"/>
    <n v="17"/>
    <n v="14"/>
    <n v="5"/>
    <n v="15"/>
    <n v="1"/>
    <m/>
    <m/>
    <s v="16-20 Years"/>
    <s v="3-5 Years"/>
    <x v="2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x v="2"/>
    <n v="10"/>
    <n v="2"/>
    <n v="7"/>
    <n v="8"/>
    <n v="1"/>
    <m/>
    <m/>
    <s v="6-10 Years"/>
    <s v="6-10 Years"/>
    <x v="2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x v="1"/>
    <n v="3"/>
    <n v="0"/>
    <n v="0"/>
    <n v="2"/>
    <n v="1"/>
    <m/>
    <m/>
    <s v="3-5 Years"/>
    <s v="0-2 Years"/>
    <x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x v="3"/>
    <n v="5"/>
    <n v="2"/>
    <n v="0"/>
    <n v="3"/>
    <n v="1"/>
    <m/>
    <m/>
    <s v="3-5 Years"/>
    <s v="0-2 Years"/>
    <x v="4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x v="1"/>
    <n v="4"/>
    <n v="2"/>
    <n v="0"/>
    <n v="2"/>
    <n v="1"/>
    <m/>
    <m/>
    <s v="3-5 Years"/>
    <s v="0-2 Years"/>
    <x v="1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x v="2"/>
    <n v="5"/>
    <n v="2"/>
    <n v="3"/>
    <n v="4"/>
    <n v="1"/>
    <m/>
    <m/>
    <s v="3-5 Years"/>
    <s v="3-5 Years"/>
    <x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x v="1"/>
    <n v="10"/>
    <n v="8"/>
    <n v="5"/>
    <n v="3"/>
    <n v="1"/>
    <m/>
    <m/>
    <s v="6-10 Years"/>
    <s v="3-5 Years"/>
    <x v="2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x v="1"/>
    <n v="2"/>
    <n v="2"/>
    <n v="1"/>
    <n v="2"/>
    <n v="1"/>
    <m/>
    <m/>
    <s v="0-2 Years"/>
    <s v="0-2 Years"/>
    <x v="0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x v="2"/>
    <n v="5"/>
    <n v="3"/>
    <n v="1"/>
    <n v="3"/>
    <n v="1"/>
    <m/>
    <m/>
    <s v="3-5 Years"/>
    <s v="0-2 Years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x v="1"/>
    <n v="6"/>
    <n v="4"/>
    <n v="0"/>
    <n v="2"/>
    <n v="1"/>
    <m/>
    <m/>
    <s v="6-10 Years"/>
    <s v="0-2 Years"/>
    <x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x v="1"/>
    <n v="3"/>
    <n v="2"/>
    <n v="0"/>
    <n v="2"/>
    <n v="1"/>
    <m/>
    <m/>
    <s v="3-5 Years"/>
    <s v="0-2 Years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x v="1"/>
    <n v="2"/>
    <n v="0"/>
    <n v="2"/>
    <n v="2"/>
    <n v="1"/>
    <m/>
    <m/>
    <s v="0-2 Years"/>
    <s v="0-2 Years"/>
    <x v="1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x v="1"/>
    <n v="13"/>
    <n v="10"/>
    <n v="4"/>
    <n v="8"/>
    <n v="1"/>
    <m/>
    <m/>
    <s v="11-15 Years"/>
    <s v="3-5 Years"/>
    <x v="2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x v="1"/>
    <n v="5"/>
    <n v="4"/>
    <n v="0"/>
    <n v="0"/>
    <n v="1"/>
    <m/>
    <m/>
    <s v="3-5 Years"/>
    <s v="0-2 Years"/>
    <x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x v="1"/>
    <n v="12"/>
    <n v="9"/>
    <n v="3"/>
    <n v="8"/>
    <n v="1"/>
    <m/>
    <m/>
    <s v="11-15 Years"/>
    <s v="3-5 Years"/>
    <x v="1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x v="2"/>
    <n v="5"/>
    <n v="2"/>
    <n v="2"/>
    <n v="2"/>
    <n v="1"/>
    <m/>
    <m/>
    <s v="3-5 Years"/>
    <s v="0-2 Years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x v="1"/>
    <n v="7"/>
    <n v="6"/>
    <n v="7"/>
    <n v="7"/>
    <n v="1"/>
    <m/>
    <m/>
    <s v="6-10 Years"/>
    <s v="6-10 Years"/>
    <x v="1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x v="1"/>
    <n v="10"/>
    <n v="0"/>
    <n v="0"/>
    <n v="9"/>
    <n v="1"/>
    <m/>
    <m/>
    <s v="6-10 Years"/>
    <s v="0-2 Years"/>
    <x v="0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x v="1"/>
    <n v="31"/>
    <n v="6"/>
    <n v="14"/>
    <n v="7"/>
    <n v="1"/>
    <m/>
    <m/>
    <s v="21+ Years"/>
    <s v="11-15 Years"/>
    <x v="1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x v="1"/>
    <n v="5"/>
    <n v="4"/>
    <n v="0"/>
    <n v="4"/>
    <n v="1"/>
    <m/>
    <m/>
    <s v="3-5 Years"/>
    <s v="0-2 Years"/>
    <x v="0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x v="3"/>
    <n v="4"/>
    <n v="3"/>
    <n v="0"/>
    <n v="3"/>
    <n v="1"/>
    <m/>
    <m/>
    <s v="3-5 Years"/>
    <s v="0-2 Years"/>
    <x v="2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x v="0"/>
    <n v="1"/>
    <n v="0"/>
    <n v="0"/>
    <n v="1"/>
    <n v="1"/>
    <m/>
    <m/>
    <s v="0-2 Years"/>
    <s v="0-2 Years"/>
    <x v="2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x v="1"/>
    <n v="4"/>
    <n v="3"/>
    <n v="0"/>
    <n v="3"/>
    <n v="1"/>
    <m/>
    <m/>
    <s v="3-5 Years"/>
    <s v="0-2 Years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x v="1"/>
    <n v="8"/>
    <n v="7"/>
    <n v="7"/>
    <n v="1"/>
    <n v="1"/>
    <m/>
    <m/>
    <s v="6-10 Years"/>
    <s v="6-10 Years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x v="1"/>
    <n v="4"/>
    <n v="2"/>
    <n v="0"/>
    <n v="2"/>
    <n v="1"/>
    <m/>
    <m/>
    <s v="3-5 Years"/>
    <s v="0-2 Years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x v="2"/>
    <n v="1"/>
    <n v="0"/>
    <n v="0"/>
    <n v="0"/>
    <n v="1"/>
    <m/>
    <m/>
    <s v="0-2 Years"/>
    <s v="0-2 Years"/>
    <x v="3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x v="3"/>
    <n v="1"/>
    <n v="0"/>
    <n v="0"/>
    <n v="0"/>
    <n v="1"/>
    <m/>
    <m/>
    <s v="0-2 Years"/>
    <s v="0-2 Years"/>
    <x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x v="2"/>
    <n v="2"/>
    <n v="2"/>
    <n v="0"/>
    <n v="2"/>
    <n v="1"/>
    <m/>
    <m/>
    <s v="0-2 Years"/>
    <s v="0-2 Years"/>
    <x v="4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x v="2"/>
    <n v="1"/>
    <n v="0"/>
    <n v="0"/>
    <n v="0"/>
    <n v="1"/>
    <m/>
    <m/>
    <s v="0-2 Years"/>
    <s v="0-2 Years"/>
    <x v="4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x v="2"/>
    <n v="16"/>
    <n v="8"/>
    <n v="4"/>
    <n v="11"/>
    <n v="1"/>
    <m/>
    <m/>
    <s v="16-20 Years"/>
    <s v="3-5 Years"/>
    <x v="0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x v="2"/>
    <n v="3"/>
    <n v="2"/>
    <n v="1"/>
    <n v="2"/>
    <n v="1"/>
    <m/>
    <m/>
    <s v="3-5 Years"/>
    <s v="0-2 Years"/>
    <x v="1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x v="3"/>
    <n v="3"/>
    <n v="2"/>
    <n v="0"/>
    <n v="2"/>
    <n v="1"/>
    <m/>
    <m/>
    <s v="3-5 Years"/>
    <s v="0-2 Years"/>
    <x v="4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x v="2"/>
    <n v="7"/>
    <n v="7"/>
    <n v="1"/>
    <n v="0"/>
    <n v="1"/>
    <m/>
    <m/>
    <s v="6-10 Years"/>
    <s v="0-2 Years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x v="1"/>
    <n v="2"/>
    <n v="2"/>
    <n v="2"/>
    <n v="2"/>
    <n v="1"/>
    <m/>
    <m/>
    <s v="0-2 Years"/>
    <s v="0-2 Years"/>
    <x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x v="0"/>
    <n v="2"/>
    <n v="2"/>
    <n v="2"/>
    <n v="2"/>
    <n v="1"/>
    <m/>
    <m/>
    <s v="0-2 Years"/>
    <s v="0-2 Years"/>
    <x v="0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x v="1"/>
    <n v="1"/>
    <n v="1"/>
    <n v="0"/>
    <n v="0"/>
    <n v="1"/>
    <m/>
    <m/>
    <s v="0-2 Years"/>
    <s v="0-2 Years"/>
    <x v="2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x v="1"/>
    <n v="1"/>
    <n v="0"/>
    <n v="1"/>
    <n v="0"/>
    <n v="1"/>
    <m/>
    <m/>
    <s v="0-2 Years"/>
    <s v="0-2 Years"/>
    <x v="2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x v="1"/>
    <n v="5"/>
    <n v="4"/>
    <n v="0"/>
    <n v="3"/>
    <n v="1"/>
    <m/>
    <m/>
    <s v="3-5 Years"/>
    <s v="0-2 Years"/>
    <x v="0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x v="1"/>
    <n v="3"/>
    <n v="2"/>
    <n v="0"/>
    <n v="2"/>
    <n v="1"/>
    <m/>
    <m/>
    <s v="3-5 Years"/>
    <s v="0-2 Years"/>
    <x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x v="1"/>
    <n v="6"/>
    <n v="0"/>
    <n v="0"/>
    <n v="4"/>
    <n v="1"/>
    <m/>
    <m/>
    <s v="6-10 Years"/>
    <s v="0-2 Years"/>
    <x v="3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x v="3"/>
    <n v="7"/>
    <n v="7"/>
    <n v="5"/>
    <n v="2"/>
    <n v="1"/>
    <m/>
    <m/>
    <s v="6-10 Years"/>
    <s v="3-5 Years"/>
    <x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x v="0"/>
    <n v="10"/>
    <n v="6"/>
    <n v="0"/>
    <n v="7"/>
    <n v="1"/>
    <m/>
    <m/>
    <s v="6-10 Years"/>
    <s v="0-2 Years"/>
    <x v="2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x v="2"/>
    <n v="26"/>
    <n v="9"/>
    <n v="1"/>
    <n v="7"/>
    <n v="1"/>
    <m/>
    <m/>
    <s v="21+ Years"/>
    <s v="0-2 Years"/>
    <x v="1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x v="2"/>
    <n v="0"/>
    <n v="0"/>
    <n v="0"/>
    <n v="0"/>
    <n v="1"/>
    <m/>
    <m/>
    <s v="0-2 Years"/>
    <s v="0-2 Years"/>
    <x v="1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x v="2"/>
    <n v="9"/>
    <n v="8"/>
    <n v="0"/>
    <n v="0"/>
    <n v="1"/>
    <m/>
    <m/>
    <s v="6-10 Years"/>
    <s v="0-2 Years"/>
    <x v="2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x v="1"/>
    <n v="6"/>
    <n v="2"/>
    <n v="0"/>
    <n v="1"/>
    <n v="1"/>
    <m/>
    <m/>
    <s v="6-10 Years"/>
    <s v="0-2 Years"/>
    <x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x v="1"/>
    <n v="15"/>
    <n v="12"/>
    <n v="5"/>
    <n v="11"/>
    <n v="1"/>
    <m/>
    <m/>
    <s v="11-15 Years"/>
    <s v="3-5 Years"/>
    <x v="0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x v="1"/>
    <n v="3"/>
    <n v="0"/>
    <n v="0"/>
    <n v="2"/>
    <n v="1"/>
    <m/>
    <m/>
    <s v="3-5 Years"/>
    <s v="0-2 Years"/>
    <x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x v="1"/>
    <n v="1"/>
    <n v="0"/>
    <n v="0"/>
    <n v="0"/>
    <n v="1"/>
    <m/>
    <m/>
    <s v="0-2 Years"/>
    <s v="0-2 Years"/>
    <x v="4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x v="2"/>
    <n v="1"/>
    <n v="0"/>
    <n v="0"/>
    <n v="0"/>
    <n v="1"/>
    <m/>
    <m/>
    <s v="0-2 Years"/>
    <s v="0-2 Years"/>
    <x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x v="1"/>
    <n v="7"/>
    <n v="7"/>
    <n v="0"/>
    <n v="7"/>
    <n v="1"/>
    <m/>
    <m/>
    <s v="6-10 Years"/>
    <s v="0-2 Years"/>
    <x v="2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x v="1"/>
    <n v="18"/>
    <n v="13"/>
    <n v="2"/>
    <n v="17"/>
    <n v="1"/>
    <m/>
    <m/>
    <s v="16-20 Years"/>
    <s v="0-2 Years"/>
    <x v="0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x v="1"/>
    <n v="11"/>
    <n v="8"/>
    <n v="3"/>
    <n v="9"/>
    <n v="1"/>
    <m/>
    <m/>
    <s v="11-15 Years"/>
    <s v="3-5 Years"/>
    <x v="0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x v="3"/>
    <n v="1"/>
    <n v="0"/>
    <n v="0"/>
    <n v="0"/>
    <n v="1"/>
    <m/>
    <m/>
    <s v="0-2 Years"/>
    <s v="0-2 Years"/>
    <x v="4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x v="1"/>
    <n v="1"/>
    <n v="0"/>
    <n v="0"/>
    <n v="0"/>
    <n v="1"/>
    <m/>
    <m/>
    <s v="0-2 Years"/>
    <s v="0-2 Years"/>
    <x v="4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x v="0"/>
    <n v="9"/>
    <n v="7"/>
    <n v="8"/>
    <n v="5"/>
    <n v="1"/>
    <m/>
    <m/>
    <s v="6-10 Years"/>
    <s v="6-10 Years"/>
    <x v="2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x v="1"/>
    <n v="1"/>
    <n v="1"/>
    <n v="0"/>
    <n v="0"/>
    <n v="1"/>
    <m/>
    <m/>
    <s v="0-2 Years"/>
    <s v="0-2 Years"/>
    <x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x v="3"/>
    <n v="8"/>
    <n v="7"/>
    <n v="6"/>
    <n v="3"/>
    <n v="1"/>
    <m/>
    <m/>
    <s v="6-10 Years"/>
    <s v="6-10 Years"/>
    <x v="2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x v="1"/>
    <n v="16"/>
    <n v="7"/>
    <n v="3"/>
    <n v="7"/>
    <n v="1"/>
    <m/>
    <m/>
    <s v="16-20 Years"/>
    <s v="3-5 Years"/>
    <x v="0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x v="1"/>
    <n v="5"/>
    <n v="0"/>
    <n v="1"/>
    <n v="4"/>
    <n v="1"/>
    <m/>
    <m/>
    <s v="3-5 Years"/>
    <s v="0-2 Years"/>
    <x v="2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x v="0"/>
    <n v="14"/>
    <n v="1"/>
    <n v="11"/>
    <n v="7"/>
    <n v="1"/>
    <m/>
    <m/>
    <s v="11-15 Years"/>
    <s v="11-15 Years"/>
    <x v="0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x v="2"/>
    <n v="9"/>
    <n v="7"/>
    <n v="0"/>
    <n v="8"/>
    <n v="1"/>
    <m/>
    <m/>
    <s v="6-10 Years"/>
    <s v="0-2 Years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x v="1"/>
    <n v="3"/>
    <n v="1"/>
    <n v="0"/>
    <n v="2"/>
    <n v="1"/>
    <m/>
    <m/>
    <s v="3-5 Years"/>
    <s v="0-2 Years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x v="1"/>
    <n v="5"/>
    <n v="2"/>
    <n v="1"/>
    <n v="0"/>
    <n v="1"/>
    <m/>
    <m/>
    <s v="3-5 Years"/>
    <s v="0-2 Years"/>
    <x v="2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x v="2"/>
    <n v="9"/>
    <n v="8"/>
    <n v="7"/>
    <n v="8"/>
    <n v="1"/>
    <m/>
    <m/>
    <s v="6-10 Years"/>
    <s v="6-10 Years"/>
    <x v="1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x v="1"/>
    <n v="1"/>
    <n v="0"/>
    <n v="0"/>
    <n v="0"/>
    <n v="1"/>
    <m/>
    <m/>
    <s v="0-2 Years"/>
    <s v="0-2 Years"/>
    <x v="3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x v="3"/>
    <n v="17"/>
    <n v="13"/>
    <n v="15"/>
    <n v="2"/>
    <n v="1"/>
    <m/>
    <m/>
    <s v="16-20 Years"/>
    <s v="11-15 Years"/>
    <x v="1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x v="3"/>
    <n v="8"/>
    <n v="4"/>
    <n v="7"/>
    <n v="7"/>
    <n v="1"/>
    <m/>
    <m/>
    <s v="6-10 Years"/>
    <s v="6-10 Years"/>
    <x v="2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x v="1"/>
    <n v="5"/>
    <n v="3"/>
    <n v="1"/>
    <n v="3"/>
    <n v="1"/>
    <m/>
    <m/>
    <s v="3-5 Years"/>
    <s v="0-2 Years"/>
    <x v="0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x v="1"/>
    <n v="10"/>
    <n v="9"/>
    <n v="0"/>
    <n v="8"/>
    <n v="1"/>
    <m/>
    <m/>
    <s v="6-10 Years"/>
    <s v="0-2 Years"/>
    <x v="2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x v="1"/>
    <n v="8"/>
    <n v="7"/>
    <n v="0"/>
    <n v="7"/>
    <n v="1"/>
    <m/>
    <m/>
    <s v="6-10 Years"/>
    <s v="0-2 Years"/>
    <x v="0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x v="2"/>
    <n v="1"/>
    <n v="0"/>
    <n v="0"/>
    <n v="0"/>
    <n v="1"/>
    <m/>
    <m/>
    <s v="0-2 Years"/>
    <s v="0-2 Years"/>
    <x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x v="3"/>
    <n v="19"/>
    <n v="10"/>
    <n v="2"/>
    <n v="7"/>
    <n v="1"/>
    <m/>
    <m/>
    <s v="16-20 Years"/>
    <s v="0-2 Years"/>
    <x v="1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x v="1"/>
    <n v="7"/>
    <n v="7"/>
    <n v="0"/>
    <n v="7"/>
    <n v="1"/>
    <m/>
    <m/>
    <s v="6-10 Years"/>
    <s v="0-2 Years"/>
    <x v="0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x v="1"/>
    <n v="3"/>
    <n v="2"/>
    <n v="1"/>
    <n v="2"/>
    <n v="1"/>
    <m/>
    <m/>
    <s v="3-5 Years"/>
    <s v="0-2 Years"/>
    <x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x v="1"/>
    <n v="10"/>
    <n v="8"/>
    <n v="6"/>
    <n v="0"/>
    <n v="1"/>
    <m/>
    <m/>
    <s v="6-10 Years"/>
    <s v="6-10 Years"/>
    <x v="2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x v="1"/>
    <n v="0"/>
    <n v="0"/>
    <n v="0"/>
    <n v="0"/>
    <n v="1"/>
    <m/>
    <m/>
    <s v="0-2 Years"/>
    <s v="0-2 Years"/>
    <x v="2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x v="1"/>
    <n v="3"/>
    <n v="2"/>
    <n v="0"/>
    <n v="2"/>
    <n v="1"/>
    <m/>
    <m/>
    <s v="3-5 Years"/>
    <s v="0-2 Years"/>
    <x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x v="1"/>
    <n v="5"/>
    <n v="3"/>
    <n v="0"/>
    <n v="2"/>
    <n v="1"/>
    <m/>
    <m/>
    <s v="3-5 Years"/>
    <s v="0-2 Years"/>
    <x v="0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x v="2"/>
    <n v="5"/>
    <n v="4"/>
    <n v="1"/>
    <n v="3"/>
    <n v="1"/>
    <m/>
    <m/>
    <s v="3-5 Years"/>
    <s v="0-2 Years"/>
    <x v="1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x v="1"/>
    <n v="6"/>
    <n v="5"/>
    <n v="1"/>
    <n v="2"/>
    <n v="1"/>
    <m/>
    <m/>
    <s v="6-10 Years"/>
    <s v="0-2 Years"/>
    <x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x v="3"/>
    <n v="18"/>
    <n v="16"/>
    <n v="0"/>
    <n v="11"/>
    <n v="1"/>
    <m/>
    <m/>
    <s v="16-20 Years"/>
    <s v="0-2 Years"/>
    <x v="0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x v="1"/>
    <n v="2"/>
    <n v="2"/>
    <n v="2"/>
    <n v="2"/>
    <n v="1"/>
    <m/>
    <m/>
    <s v="0-2 Years"/>
    <s v="0-2 Years"/>
    <x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x v="1"/>
    <n v="9"/>
    <n v="8"/>
    <n v="0"/>
    <n v="8"/>
    <n v="1"/>
    <m/>
    <m/>
    <s v="6-10 Years"/>
    <s v="0-2 Years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x v="1"/>
    <n v="9"/>
    <n v="0"/>
    <n v="0"/>
    <n v="7"/>
    <n v="1"/>
    <m/>
    <m/>
    <s v="6-10 Years"/>
    <s v="0-2 Years"/>
    <x v="1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x v="1"/>
    <n v="5"/>
    <n v="2"/>
    <n v="0"/>
    <n v="1"/>
    <n v="1"/>
    <m/>
    <m/>
    <s v="3-5 Years"/>
    <s v="0-2 Years"/>
    <x v="2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x v="1"/>
    <n v="12"/>
    <n v="11"/>
    <n v="1"/>
    <n v="5"/>
    <n v="1"/>
    <m/>
    <m/>
    <s v="11-15 Years"/>
    <s v="0-2 Years"/>
    <x v="1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x v="2"/>
    <n v="2"/>
    <n v="1"/>
    <n v="0"/>
    <n v="2"/>
    <n v="1"/>
    <m/>
    <m/>
    <s v="0-2 Years"/>
    <s v="0-2 Years"/>
    <x v="0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x v="1"/>
    <n v="8"/>
    <n v="7"/>
    <n v="0"/>
    <n v="7"/>
    <n v="1"/>
    <m/>
    <m/>
    <s v="6-10 Years"/>
    <s v="0-2 Years"/>
    <x v="1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x v="1"/>
    <n v="4"/>
    <n v="2"/>
    <n v="3"/>
    <n v="2"/>
    <n v="1"/>
    <m/>
    <m/>
    <s v="3-5 Years"/>
    <s v="3-5 Years"/>
    <x v="4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x v="0"/>
    <n v="4"/>
    <n v="2"/>
    <n v="0"/>
    <n v="2"/>
    <n v="1"/>
    <m/>
    <m/>
    <s v="3-5 Years"/>
    <s v="0-2 Years"/>
    <x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x v="1"/>
    <n v="4"/>
    <n v="3"/>
    <n v="0"/>
    <n v="3"/>
    <n v="1"/>
    <m/>
    <m/>
    <s v="3-5 Years"/>
    <s v="0-2 Years"/>
    <x v="2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x v="1"/>
    <n v="0"/>
    <n v="0"/>
    <n v="0"/>
    <n v="0"/>
    <n v="1"/>
    <m/>
    <m/>
    <s v="0-2 Years"/>
    <s v="0-2 Years"/>
    <x v="4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x v="1"/>
    <n v="10"/>
    <n v="7"/>
    <n v="0"/>
    <n v="8"/>
    <n v="1"/>
    <m/>
    <m/>
    <s v="6-10 Years"/>
    <s v="0-2 Years"/>
    <x v="1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x v="2"/>
    <n v="16"/>
    <n v="10"/>
    <n v="10"/>
    <n v="1"/>
    <n v="1"/>
    <m/>
    <m/>
    <s v="16-20 Years"/>
    <s v="6-10 Years"/>
    <x v="2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x v="2"/>
    <n v="8"/>
    <n v="7"/>
    <n v="1"/>
    <n v="7"/>
    <n v="1"/>
    <m/>
    <m/>
    <s v="6-10 Years"/>
    <s v="0-2 Years"/>
    <x v="2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x v="1"/>
    <n v="1"/>
    <n v="0"/>
    <n v="0"/>
    <n v="0"/>
    <n v="1"/>
    <m/>
    <m/>
    <s v="0-2 Years"/>
    <s v="0-2 Years"/>
    <x v="4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x v="1"/>
    <n v="3"/>
    <n v="2"/>
    <n v="1"/>
    <n v="2"/>
    <n v="1"/>
    <m/>
    <m/>
    <s v="3-5 Years"/>
    <s v="0-2 Years"/>
    <x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x v="1"/>
    <n v="8"/>
    <n v="7"/>
    <n v="1"/>
    <n v="3"/>
    <n v="1"/>
    <m/>
    <m/>
    <s v="6-10 Years"/>
    <s v="0-2 Years"/>
    <x v="2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x v="2"/>
    <n v="4"/>
    <n v="3"/>
    <n v="1"/>
    <n v="1"/>
    <n v="1"/>
    <m/>
    <m/>
    <s v="3-5 Years"/>
    <s v="0-2 Years"/>
    <x v="4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x v="1"/>
    <n v="2"/>
    <n v="2"/>
    <n v="2"/>
    <n v="2"/>
    <n v="1"/>
    <m/>
    <m/>
    <s v="0-2 Years"/>
    <s v="0-2 Years"/>
    <x v="1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x v="1"/>
    <n v="15"/>
    <n v="11"/>
    <n v="4"/>
    <n v="8"/>
    <n v="1"/>
    <m/>
    <m/>
    <s v="11-15 Years"/>
    <s v="3-5 Years"/>
    <x v="1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x v="1"/>
    <n v="2"/>
    <n v="2"/>
    <n v="2"/>
    <n v="1"/>
    <n v="1"/>
    <m/>
    <m/>
    <s v="0-2 Years"/>
    <s v="0-2 Years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x v="1"/>
    <n v="21"/>
    <n v="6"/>
    <n v="11"/>
    <n v="8"/>
    <n v="1"/>
    <m/>
    <m/>
    <s v="21+ Years"/>
    <s v="11-15 Years"/>
    <x v="0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x v="1"/>
    <n v="3"/>
    <n v="2"/>
    <n v="2"/>
    <n v="2"/>
    <n v="1"/>
    <m/>
    <m/>
    <s v="3-5 Years"/>
    <s v="0-2 Years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x v="2"/>
    <n v="3"/>
    <n v="2"/>
    <n v="1"/>
    <n v="2"/>
    <n v="1"/>
    <m/>
    <m/>
    <s v="3-5 Years"/>
    <s v="0-2 Years"/>
    <x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x v="3"/>
    <n v="1"/>
    <n v="0"/>
    <n v="0"/>
    <n v="0"/>
    <n v="1"/>
    <m/>
    <m/>
    <s v="0-2 Years"/>
    <s v="0-2 Years"/>
    <x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x v="1"/>
    <n v="1"/>
    <n v="0"/>
    <n v="0"/>
    <n v="0"/>
    <n v="1"/>
    <m/>
    <m/>
    <s v="0-2 Years"/>
    <s v="0-2 Years"/>
    <x v="1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x v="1"/>
    <n v="5"/>
    <n v="3"/>
    <n v="4"/>
    <n v="3"/>
    <n v="1"/>
    <m/>
    <m/>
    <s v="3-5 Years"/>
    <s v="3-5 Years"/>
    <x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x v="0"/>
    <n v="1"/>
    <n v="0"/>
    <n v="0"/>
    <n v="0"/>
    <n v="1"/>
    <m/>
    <m/>
    <s v="0-2 Years"/>
    <s v="0-2 Years"/>
    <x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x v="1"/>
    <n v="8"/>
    <n v="7"/>
    <n v="6"/>
    <n v="7"/>
    <n v="1"/>
    <m/>
    <m/>
    <s v="6-10 Years"/>
    <s v="6-10 Years"/>
    <x v="1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x v="1"/>
    <n v="21"/>
    <n v="16"/>
    <n v="5"/>
    <n v="10"/>
    <n v="1"/>
    <m/>
    <m/>
    <s v="21+ Years"/>
    <s v="3-5 Years"/>
    <x v="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x v="1"/>
    <n v="1"/>
    <n v="0"/>
    <n v="0"/>
    <n v="0"/>
    <n v="1"/>
    <m/>
    <m/>
    <s v="0-2 Years"/>
    <s v="0-2 Years"/>
    <x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x v="1"/>
    <n v="2"/>
    <n v="2"/>
    <n v="2"/>
    <n v="2"/>
    <n v="1"/>
    <m/>
    <m/>
    <s v="0-2 Years"/>
    <s v="0-2 Years"/>
    <x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x v="1"/>
    <n v="32"/>
    <n v="14"/>
    <n v="6"/>
    <n v="9"/>
    <n v="1"/>
    <m/>
    <m/>
    <s v="21+ Years"/>
    <s v="6-10 Years"/>
    <x v="1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x v="1"/>
    <n v="12"/>
    <n v="11"/>
    <n v="11"/>
    <n v="11"/>
    <n v="1"/>
    <m/>
    <m/>
    <s v="11-15 Years"/>
    <s v="11-15 Years"/>
    <x v="0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x v="1"/>
    <n v="18"/>
    <n v="7"/>
    <n v="0"/>
    <n v="13"/>
    <n v="1"/>
    <m/>
    <m/>
    <s v="16-20 Years"/>
    <s v="0-2 Years"/>
    <x v="1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x v="1"/>
    <n v="17"/>
    <n v="13"/>
    <n v="15"/>
    <n v="14"/>
    <n v="1"/>
    <m/>
    <m/>
    <s v="16-20 Years"/>
    <s v="11-15 Years"/>
    <x v="0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x v="1"/>
    <n v="21"/>
    <n v="6"/>
    <n v="2"/>
    <n v="8"/>
    <n v="1"/>
    <m/>
    <m/>
    <s v="21+ Years"/>
    <s v="0-2 Years"/>
    <x v="0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x v="2"/>
    <n v="2"/>
    <n v="2"/>
    <n v="2"/>
    <n v="2"/>
    <n v="1"/>
    <m/>
    <m/>
    <s v="0-2 Years"/>
    <s v="0-2 Years"/>
    <x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x v="3"/>
    <n v="9"/>
    <n v="3"/>
    <n v="1"/>
    <n v="1"/>
    <n v="1"/>
    <m/>
    <m/>
    <s v="6-10 Years"/>
    <s v="0-2 Years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x v="1"/>
    <n v="8"/>
    <n v="7"/>
    <n v="7"/>
    <n v="7"/>
    <n v="1"/>
    <m/>
    <m/>
    <s v="6-10 Years"/>
    <s v="6-10 Years"/>
    <x v="2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x v="2"/>
    <n v="15"/>
    <n v="1"/>
    <n v="0"/>
    <n v="9"/>
    <n v="1"/>
    <m/>
    <m/>
    <s v="11-15 Years"/>
    <s v="0-2 Years"/>
    <x v="2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x v="0"/>
    <n v="6"/>
    <n v="4"/>
    <n v="0"/>
    <n v="4"/>
    <n v="1"/>
    <m/>
    <m/>
    <s v="6-10 Years"/>
    <s v="0-2 Years"/>
    <x v="3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x v="1"/>
    <n v="6"/>
    <n v="3"/>
    <n v="0"/>
    <n v="4"/>
    <n v="1"/>
    <m/>
    <m/>
    <s v="6-10 Years"/>
    <s v="0-2 Years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x v="1"/>
    <n v="15"/>
    <n v="7"/>
    <n v="6"/>
    <n v="12"/>
    <n v="1"/>
    <m/>
    <m/>
    <s v="11-15 Years"/>
    <s v="6-10 Years"/>
    <x v="1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x v="2"/>
    <n v="1"/>
    <n v="0"/>
    <n v="0"/>
    <n v="0"/>
    <n v="1"/>
    <m/>
    <m/>
    <s v="0-2 Years"/>
    <s v="0-2 Years"/>
    <x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x v="1"/>
    <n v="3"/>
    <n v="2"/>
    <n v="1"/>
    <n v="2"/>
    <n v="1"/>
    <m/>
    <m/>
    <s v="3-5 Years"/>
    <s v="0-2 Years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x v="1"/>
    <n v="1"/>
    <n v="1"/>
    <n v="0"/>
    <n v="0"/>
    <n v="1"/>
    <m/>
    <m/>
    <s v="0-2 Years"/>
    <s v="0-2 Years"/>
    <x v="2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x v="1"/>
    <n v="1"/>
    <n v="0"/>
    <n v="0"/>
    <n v="0"/>
    <n v="1"/>
    <m/>
    <m/>
    <s v="0-2 Years"/>
    <s v="0-2 Years"/>
    <x v="2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x v="1"/>
    <n v="2"/>
    <n v="2"/>
    <n v="2"/>
    <n v="2"/>
    <n v="1"/>
    <m/>
    <m/>
    <s v="0-2 Years"/>
    <s v="0-2 Years"/>
    <x v="0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x v="2"/>
    <n v="8"/>
    <n v="1"/>
    <n v="7"/>
    <n v="7"/>
    <n v="1"/>
    <m/>
    <m/>
    <s v="6-10 Years"/>
    <s v="6-10 Years"/>
    <x v="1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x v="2"/>
    <n v="4"/>
    <n v="3"/>
    <n v="0"/>
    <n v="1"/>
    <n v="1"/>
    <m/>
    <m/>
    <s v="3-5 Years"/>
    <s v="0-2 Years"/>
    <x v="0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x v="2"/>
    <n v="7"/>
    <n v="7"/>
    <n v="7"/>
    <n v="5"/>
    <n v="1"/>
    <m/>
    <m/>
    <s v="6-10 Years"/>
    <s v="6-10 Years"/>
    <x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x v="1"/>
    <n v="5"/>
    <n v="3"/>
    <n v="1"/>
    <n v="3"/>
    <n v="1"/>
    <m/>
    <m/>
    <s v="3-5 Years"/>
    <s v="0-2 Years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x v="1"/>
    <n v="2"/>
    <n v="2"/>
    <n v="2"/>
    <n v="2"/>
    <n v="1"/>
    <m/>
    <m/>
    <s v="0-2 Years"/>
    <s v="0-2 Years"/>
    <x v="1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x v="1"/>
    <n v="9"/>
    <n v="4"/>
    <n v="7"/>
    <n v="0"/>
    <n v="1"/>
    <m/>
    <m/>
    <s v="6-10 Years"/>
    <s v="6-10 Years"/>
    <x v="1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x v="1"/>
    <n v="5"/>
    <n v="4"/>
    <n v="0"/>
    <n v="3"/>
    <n v="1"/>
    <m/>
    <m/>
    <s v="3-5 Years"/>
    <s v="0-2 Years"/>
    <x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x v="2"/>
    <n v="14"/>
    <n v="8"/>
    <n v="7"/>
    <n v="8"/>
    <n v="1"/>
    <m/>
    <m/>
    <s v="11-15 Years"/>
    <s v="6-10 Years"/>
    <x v="0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x v="3"/>
    <n v="9"/>
    <n v="7"/>
    <n v="6"/>
    <n v="2"/>
    <n v="1"/>
    <m/>
    <m/>
    <s v="6-10 Years"/>
    <s v="6-10 Years"/>
    <x v="1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x v="1"/>
    <n v="1"/>
    <n v="0"/>
    <n v="0"/>
    <n v="0"/>
    <n v="1"/>
    <m/>
    <m/>
    <s v="0-2 Years"/>
    <s v="0-2 Years"/>
    <x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x v="1"/>
    <n v="2"/>
    <n v="2"/>
    <n v="0"/>
    <n v="2"/>
    <n v="1"/>
    <m/>
    <m/>
    <s v="0-2 Years"/>
    <s v="0-2 Years"/>
    <x v="4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x v="2"/>
    <n v="1"/>
    <n v="0"/>
    <n v="1"/>
    <n v="0"/>
    <n v="1"/>
    <m/>
    <m/>
    <s v="0-2 Years"/>
    <s v="0-2 Years"/>
    <x v="4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x v="1"/>
    <n v="16"/>
    <n v="13"/>
    <n v="1"/>
    <n v="7"/>
    <n v="1"/>
    <m/>
    <m/>
    <s v="16-20 Years"/>
    <s v="0-2 Years"/>
    <x v="1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x v="3"/>
    <n v="10"/>
    <n v="0"/>
    <n v="2"/>
    <n v="7"/>
    <n v="1"/>
    <m/>
    <m/>
    <s v="6-10 Years"/>
    <s v="0-2 Years"/>
    <x v="1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x v="2"/>
    <n v="10"/>
    <n v="7"/>
    <n v="1"/>
    <n v="9"/>
    <n v="1"/>
    <m/>
    <m/>
    <s v="6-10 Years"/>
    <s v="0-2 Years"/>
    <x v="2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x v="1"/>
    <n v="5"/>
    <n v="3"/>
    <n v="1"/>
    <n v="3"/>
    <n v="1"/>
    <m/>
    <m/>
    <s v="3-5 Years"/>
    <s v="0-2 Years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x v="2"/>
    <n v="6"/>
    <n v="2"/>
    <n v="0"/>
    <n v="2"/>
    <n v="1"/>
    <m/>
    <m/>
    <s v="6-10 Years"/>
    <s v="0-2 Years"/>
    <x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x v="1"/>
    <n v="10"/>
    <n v="6"/>
    <n v="0"/>
    <n v="8"/>
    <n v="1"/>
    <m/>
    <m/>
    <s v="6-10 Years"/>
    <s v="0-2 Years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x v="2"/>
    <n v="19"/>
    <n v="9"/>
    <n v="1"/>
    <n v="9"/>
    <n v="1"/>
    <m/>
    <m/>
    <s v="16-20 Years"/>
    <s v="0-2 Years"/>
    <x v="0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x v="1"/>
    <n v="11"/>
    <n v="10"/>
    <n v="11"/>
    <n v="1"/>
    <n v="1"/>
    <m/>
    <m/>
    <s v="11-15 Years"/>
    <s v="11-15 Years"/>
    <x v="0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x v="1"/>
    <n v="3"/>
    <n v="2"/>
    <n v="1"/>
    <n v="2"/>
    <n v="1"/>
    <m/>
    <m/>
    <s v="3-5 Years"/>
    <s v="0-2 Years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x v="1"/>
    <n v="3"/>
    <n v="2"/>
    <n v="1"/>
    <n v="2"/>
    <n v="1"/>
    <m/>
    <m/>
    <s v="3-5 Years"/>
    <s v="0-2 Years"/>
    <x v="1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x v="3"/>
    <n v="8"/>
    <n v="7"/>
    <n v="1"/>
    <n v="7"/>
    <n v="1"/>
    <m/>
    <m/>
    <s v="6-10 Years"/>
    <s v="0-2 Years"/>
    <x v="2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x v="1"/>
    <n v="20"/>
    <n v="6"/>
    <n v="3"/>
    <n v="6"/>
    <n v="1"/>
    <m/>
    <m/>
    <s v="16-20 Years"/>
    <s v="3-5 Years"/>
    <x v="0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x v="1"/>
    <n v="3"/>
    <n v="2"/>
    <n v="1"/>
    <n v="2"/>
    <n v="1"/>
    <m/>
    <m/>
    <s v="3-5 Years"/>
    <s v="0-2 Years"/>
    <x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x v="1"/>
    <n v="8"/>
    <n v="7"/>
    <n v="4"/>
    <n v="7"/>
    <n v="1"/>
    <m/>
    <m/>
    <s v="6-10 Years"/>
    <s v="3-5 Years"/>
    <x v="2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x v="1"/>
    <n v="13"/>
    <n v="7"/>
    <n v="3"/>
    <n v="8"/>
    <n v="1"/>
    <m/>
    <m/>
    <s v="11-15 Years"/>
    <s v="3-5 Years"/>
    <x v="2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x v="2"/>
    <n v="4"/>
    <n v="2"/>
    <n v="2"/>
    <n v="2"/>
    <n v="1"/>
    <m/>
    <m/>
    <s v="3-5 Years"/>
    <s v="0-2 Years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x v="2"/>
    <n v="6"/>
    <n v="2"/>
    <n v="0"/>
    <n v="4"/>
    <n v="1"/>
    <m/>
    <m/>
    <s v="6-10 Years"/>
    <s v="0-2 Years"/>
    <x v="2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x v="1"/>
    <n v="1"/>
    <n v="0"/>
    <n v="0"/>
    <n v="0"/>
    <n v="1"/>
    <m/>
    <m/>
    <s v="0-2 Years"/>
    <s v="0-2 Years"/>
    <x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x v="3"/>
    <n v="7"/>
    <n v="7"/>
    <n v="5"/>
    <n v="6"/>
    <n v="1"/>
    <m/>
    <m/>
    <s v="6-10 Years"/>
    <s v="3-5 Years"/>
    <x v="4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x v="2"/>
    <n v="1"/>
    <n v="1"/>
    <n v="0"/>
    <n v="0"/>
    <n v="1"/>
    <m/>
    <m/>
    <s v="0-2 Years"/>
    <s v="0-2 Years"/>
    <x v="2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x v="1"/>
    <n v="2"/>
    <n v="2"/>
    <n v="2"/>
    <n v="2"/>
    <n v="1"/>
    <m/>
    <m/>
    <s v="0-2 Years"/>
    <s v="0-2 Years"/>
    <x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x v="1"/>
    <n v="22"/>
    <n v="6"/>
    <n v="13"/>
    <n v="7"/>
    <n v="1"/>
    <m/>
    <m/>
    <s v="21+ Years"/>
    <s v="11-15 Years"/>
    <x v="0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x v="1"/>
    <n v="1"/>
    <n v="0"/>
    <n v="0"/>
    <n v="0"/>
    <n v="1"/>
    <m/>
    <m/>
    <s v="0-2 Years"/>
    <s v="0-2 Years"/>
    <x v="2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x v="1"/>
    <n v="0"/>
    <n v="0"/>
    <n v="0"/>
    <n v="0"/>
    <n v="1"/>
    <m/>
    <m/>
    <s v="0-2 Years"/>
    <s v="0-2 Years"/>
    <x v="1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x v="1"/>
    <n v="3"/>
    <n v="2"/>
    <n v="0"/>
    <n v="2"/>
    <n v="1"/>
    <m/>
    <m/>
    <s v="3-5 Years"/>
    <s v="0-2 Years"/>
    <x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x v="1"/>
    <n v="0"/>
    <n v="0"/>
    <n v="0"/>
    <n v="0"/>
    <n v="1"/>
    <m/>
    <m/>
    <s v="0-2 Years"/>
    <s v="0-2 Years"/>
    <x v="2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x v="2"/>
    <n v="5"/>
    <n v="4"/>
    <n v="2"/>
    <n v="1"/>
    <n v="1"/>
    <m/>
    <m/>
    <s v="3-5 Years"/>
    <s v="0-2 Years"/>
    <x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x v="1"/>
    <n v="15"/>
    <n v="10"/>
    <n v="4"/>
    <n v="12"/>
    <n v="1"/>
    <m/>
    <m/>
    <s v="11-15 Years"/>
    <s v="3-5 Years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x v="1"/>
    <n v="8"/>
    <n v="6"/>
    <n v="4"/>
    <n v="0"/>
    <n v="1"/>
    <m/>
    <m/>
    <s v="6-10 Years"/>
    <s v="3-5 Years"/>
    <x v="1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x v="1"/>
    <n v="8"/>
    <n v="7"/>
    <n v="2"/>
    <n v="7"/>
    <n v="1"/>
    <m/>
    <m/>
    <s v="6-10 Years"/>
    <s v="0-2 Years"/>
    <x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x v="1"/>
    <n v="7"/>
    <n v="5"/>
    <n v="1"/>
    <n v="7"/>
    <n v="1"/>
    <m/>
    <m/>
    <s v="6-10 Years"/>
    <s v="0-2 Years"/>
    <x v="2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x v="2"/>
    <n v="9"/>
    <n v="7"/>
    <n v="1"/>
    <n v="7"/>
    <n v="1"/>
    <m/>
    <m/>
    <s v="6-10 Years"/>
    <s v="0-2 Years"/>
    <x v="2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x v="1"/>
    <n v="12"/>
    <n v="9"/>
    <n v="4"/>
    <n v="9"/>
    <n v="1"/>
    <m/>
    <m/>
    <s v="11-15 Years"/>
    <s v="3-5 Years"/>
    <x v="1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x v="1"/>
    <n v="1"/>
    <n v="0"/>
    <n v="0"/>
    <n v="0"/>
    <n v="1"/>
    <m/>
    <m/>
    <s v="0-2 Years"/>
    <s v="0-2 Years"/>
    <x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x v="1"/>
    <n v="8"/>
    <n v="7"/>
    <n v="0"/>
    <n v="1"/>
    <n v="1"/>
    <m/>
    <m/>
    <s v="6-10 Years"/>
    <s v="0-2 Years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x v="1"/>
    <n v="18"/>
    <n v="7"/>
    <n v="11"/>
    <n v="5"/>
    <n v="1"/>
    <m/>
    <m/>
    <s v="16-20 Years"/>
    <s v="11-15 Years"/>
    <x v="0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x v="3"/>
    <n v="20"/>
    <n v="7"/>
    <n v="4"/>
    <n v="9"/>
    <n v="1"/>
    <m/>
    <m/>
    <s v="16-20 Years"/>
    <s v="3-5 Years"/>
    <x v="0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x v="3"/>
    <n v="2"/>
    <n v="2"/>
    <n v="2"/>
    <n v="2"/>
    <n v="1"/>
    <m/>
    <m/>
    <s v="0-2 Years"/>
    <s v="0-2 Years"/>
    <x v="4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x v="2"/>
    <n v="5"/>
    <n v="4"/>
    <n v="0"/>
    <n v="3"/>
    <n v="1"/>
    <m/>
    <m/>
    <s v="3-5 Years"/>
    <s v="0-2 Years"/>
    <x v="0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x v="1"/>
    <n v="11"/>
    <n v="9"/>
    <n v="0"/>
    <n v="9"/>
    <n v="1"/>
    <m/>
    <m/>
    <s v="11-15 Years"/>
    <s v="0-2 Years"/>
    <x v="0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x v="1"/>
    <n v="2"/>
    <n v="2"/>
    <n v="2"/>
    <n v="2"/>
    <n v="1"/>
    <m/>
    <m/>
    <s v="0-2 Years"/>
    <s v="0-2 Years"/>
    <x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x v="0"/>
    <n v="5"/>
    <n v="3"/>
    <n v="0"/>
    <n v="4"/>
    <n v="1"/>
    <m/>
    <m/>
    <s v="3-5 Years"/>
    <s v="0-2 Years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x v="1"/>
    <n v="5"/>
    <n v="2"/>
    <n v="0"/>
    <n v="2"/>
    <n v="1"/>
    <m/>
    <m/>
    <s v="3-5 Years"/>
    <s v="0-2 Years"/>
    <x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x v="1"/>
    <n v="9"/>
    <n v="8"/>
    <n v="2"/>
    <n v="3"/>
    <n v="1"/>
    <m/>
    <m/>
    <s v="6-10 Years"/>
    <s v="0-2 Years"/>
    <x v="1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x v="2"/>
    <n v="3"/>
    <n v="2"/>
    <n v="0"/>
    <n v="2"/>
    <n v="1"/>
    <m/>
    <m/>
    <s v="3-5 Years"/>
    <s v="0-2 Years"/>
    <x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x v="2"/>
    <n v="7"/>
    <n v="5"/>
    <n v="1"/>
    <n v="1"/>
    <n v="1"/>
    <m/>
    <m/>
    <s v="6-10 Years"/>
    <s v="0-2 Years"/>
    <x v="2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x v="1"/>
    <n v="1"/>
    <n v="0"/>
    <n v="0"/>
    <n v="0"/>
    <n v="1"/>
    <m/>
    <m/>
    <s v="0-2 Years"/>
    <s v="0-2 Years"/>
    <x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x v="2"/>
    <n v="10"/>
    <n v="7"/>
    <n v="1"/>
    <n v="2"/>
    <n v="1"/>
    <m/>
    <m/>
    <s v="6-10 Years"/>
    <s v="0-2 Years"/>
    <x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x v="3"/>
    <n v="7"/>
    <n v="6"/>
    <n v="5"/>
    <n v="0"/>
    <n v="1"/>
    <m/>
    <m/>
    <s v="6-10 Years"/>
    <s v="3-5 Years"/>
    <x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x v="1"/>
    <n v="3"/>
    <n v="1"/>
    <n v="0"/>
    <n v="2"/>
    <n v="1"/>
    <m/>
    <m/>
    <s v="3-5 Years"/>
    <s v="0-2 Years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x v="1"/>
    <n v="0"/>
    <n v="0"/>
    <n v="0"/>
    <n v="0"/>
    <n v="1"/>
    <m/>
    <m/>
    <s v="0-2 Years"/>
    <s v="0-2 Years"/>
    <x v="4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x v="1"/>
    <n v="5"/>
    <n v="2"/>
    <n v="0"/>
    <n v="3"/>
    <n v="1"/>
    <m/>
    <m/>
    <s v="3-5 Years"/>
    <s v="0-2 Years"/>
    <x v="2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x v="1"/>
    <n v="1"/>
    <n v="0"/>
    <n v="0"/>
    <n v="0"/>
    <n v="1"/>
    <m/>
    <m/>
    <s v="0-2 Years"/>
    <s v="0-2 Years"/>
    <x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x v="2"/>
    <n v="2"/>
    <n v="2"/>
    <n v="2"/>
    <n v="2"/>
    <n v="1"/>
    <m/>
    <m/>
    <s v="0-2 Years"/>
    <s v="0-2 Years"/>
    <x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x v="1"/>
    <n v="6"/>
    <n v="2"/>
    <n v="1"/>
    <n v="3"/>
    <n v="1"/>
    <m/>
    <m/>
    <s v="6-10 Years"/>
    <s v="0-2 Years"/>
    <x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x v="1"/>
    <n v="4"/>
    <n v="2"/>
    <n v="2"/>
    <n v="2"/>
    <n v="1"/>
    <m/>
    <m/>
    <s v="3-5 Years"/>
    <s v="0-2 Years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x v="2"/>
    <n v="6"/>
    <n v="5"/>
    <n v="1"/>
    <n v="3"/>
    <n v="1"/>
    <m/>
    <m/>
    <s v="6-10 Years"/>
    <s v="0-2 Years"/>
    <x v="2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x v="0"/>
    <n v="5"/>
    <n v="4"/>
    <n v="1"/>
    <n v="4"/>
    <n v="1"/>
    <m/>
    <m/>
    <s v="3-5 Years"/>
    <s v="0-2 Years"/>
    <x v="2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x v="0"/>
    <n v="11"/>
    <n v="8"/>
    <n v="3"/>
    <n v="10"/>
    <n v="1"/>
    <m/>
    <m/>
    <s v="11-15 Years"/>
    <s v="3-5 Years"/>
    <x v="2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x v="2"/>
    <n v="18"/>
    <n v="7"/>
    <n v="2"/>
    <n v="13"/>
    <n v="1"/>
    <m/>
    <m/>
    <s v="16-20 Years"/>
    <s v="0-2 Years"/>
    <x v="0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x v="2"/>
    <n v="21"/>
    <n v="9"/>
    <n v="13"/>
    <n v="14"/>
    <n v="1"/>
    <m/>
    <m/>
    <s v="21+ Years"/>
    <s v="11-15 Years"/>
    <x v="0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x v="3"/>
    <n v="6"/>
    <n v="4"/>
    <n v="1"/>
    <n v="5"/>
    <n v="1"/>
    <m/>
    <m/>
    <s v="6-10 Years"/>
    <s v="0-2 Years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x v="1"/>
    <n v="8"/>
    <n v="0"/>
    <n v="1"/>
    <n v="7"/>
    <n v="1"/>
    <m/>
    <m/>
    <s v="6-10 Years"/>
    <s v="0-2 Years"/>
    <x v="2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x v="1"/>
    <n v="4"/>
    <n v="3"/>
    <n v="1"/>
    <n v="2"/>
    <n v="1"/>
    <m/>
    <m/>
    <s v="3-5 Years"/>
    <s v="0-2 Years"/>
    <x v="4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x v="2"/>
    <n v="1"/>
    <n v="1"/>
    <n v="0"/>
    <n v="0"/>
    <n v="1"/>
    <m/>
    <m/>
    <s v="0-2 Years"/>
    <s v="0-2 Years"/>
    <x v="2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x v="1"/>
    <n v="8"/>
    <n v="7"/>
    <n v="0"/>
    <n v="7"/>
    <n v="1"/>
    <m/>
    <m/>
    <s v="6-10 Years"/>
    <s v="0-2 Years"/>
    <x v="2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x v="1"/>
    <n v="10"/>
    <n v="3"/>
    <n v="1"/>
    <n v="4"/>
    <n v="1"/>
    <m/>
    <m/>
    <s v="6-10 Years"/>
    <s v="0-2 Years"/>
    <x v="2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x v="0"/>
    <n v="1"/>
    <n v="1"/>
    <n v="0"/>
    <n v="0"/>
    <n v="1"/>
    <m/>
    <m/>
    <s v="0-2 Years"/>
    <s v="0-2 Years"/>
    <x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x v="3"/>
    <n v="7"/>
    <n v="7"/>
    <n v="6"/>
    <n v="4"/>
    <n v="1"/>
    <m/>
    <m/>
    <s v="6-10 Years"/>
    <s v="6-10 Years"/>
    <x v="2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x v="1"/>
    <n v="13"/>
    <n v="9"/>
    <n v="4"/>
    <n v="9"/>
    <n v="1"/>
    <m/>
    <m/>
    <s v="11-15 Years"/>
    <s v="3-5 Years"/>
    <x v="2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x v="3"/>
    <n v="2"/>
    <n v="2"/>
    <n v="2"/>
    <n v="2"/>
    <n v="1"/>
    <m/>
    <m/>
    <s v="0-2 Years"/>
    <s v="0-2 Years"/>
    <x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x v="2"/>
    <n v="4"/>
    <n v="3"/>
    <n v="1"/>
    <n v="3"/>
    <n v="1"/>
    <m/>
    <m/>
    <s v="3-5 Years"/>
    <s v="0-2 Years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x v="1"/>
    <n v="1"/>
    <n v="0"/>
    <n v="0"/>
    <n v="0"/>
    <n v="1"/>
    <m/>
    <m/>
    <s v="0-2 Years"/>
    <s v="0-2 Years"/>
    <x v="2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x v="1"/>
    <n v="5"/>
    <n v="2"/>
    <n v="4"/>
    <n v="2"/>
    <n v="1"/>
    <m/>
    <m/>
    <s v="3-5 Years"/>
    <s v="3-5 Years"/>
    <x v="3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x v="1"/>
    <n v="10"/>
    <n v="8"/>
    <n v="0"/>
    <n v="8"/>
    <n v="1"/>
    <m/>
    <m/>
    <s v="6-10 Years"/>
    <s v="0-2 Years"/>
    <x v="2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x v="1"/>
    <n v="1"/>
    <n v="1"/>
    <n v="0"/>
    <n v="0"/>
    <n v="1"/>
    <m/>
    <m/>
    <s v="0-2 Years"/>
    <s v="0-2 Years"/>
    <x v="4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x v="2"/>
    <n v="3"/>
    <n v="2"/>
    <n v="0"/>
    <n v="2"/>
    <n v="1"/>
    <m/>
    <m/>
    <s v="3-5 Years"/>
    <s v="0-2 Years"/>
    <x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x v="2"/>
    <n v="14"/>
    <n v="8"/>
    <n v="3"/>
    <n v="11"/>
    <n v="1"/>
    <m/>
    <m/>
    <s v="11-15 Years"/>
    <s v="3-5 Years"/>
    <x v="0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x v="2"/>
    <n v="2"/>
    <n v="2"/>
    <n v="1"/>
    <n v="2"/>
    <n v="1"/>
    <m/>
    <m/>
    <s v="0-2 Years"/>
    <s v="0-2 Years"/>
    <x v="4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x v="1"/>
    <n v="6"/>
    <n v="4"/>
    <n v="0"/>
    <n v="2"/>
    <n v="1"/>
    <m/>
    <m/>
    <s v="6-10 Years"/>
    <s v="0-2 Years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x v="1"/>
    <n v="7"/>
    <n v="7"/>
    <n v="4"/>
    <n v="7"/>
    <n v="1"/>
    <m/>
    <m/>
    <s v="6-10 Years"/>
    <s v="3-5 Years"/>
    <x v="1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x v="2"/>
    <n v="5"/>
    <n v="4"/>
    <n v="1"/>
    <n v="3"/>
    <n v="1"/>
    <m/>
    <m/>
    <s v="3-5 Years"/>
    <s v="0-2 Years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x v="1"/>
    <n v="0"/>
    <n v="0"/>
    <n v="0"/>
    <n v="0"/>
    <n v="1"/>
    <m/>
    <m/>
    <s v="0-2 Years"/>
    <s v="0-2 Years"/>
    <x v="4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x v="1"/>
    <n v="26"/>
    <n v="15"/>
    <n v="15"/>
    <n v="9"/>
    <n v="1"/>
    <m/>
    <m/>
    <s v="21+ Years"/>
    <s v="11-15 Years"/>
    <x v="1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x v="1"/>
    <n v="0"/>
    <n v="0"/>
    <n v="0"/>
    <n v="0"/>
    <n v="1"/>
    <m/>
    <m/>
    <s v="0-2 Years"/>
    <s v="0-2 Years"/>
    <x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x v="1"/>
    <n v="5"/>
    <n v="4"/>
    <n v="1"/>
    <n v="4"/>
    <n v="1"/>
    <m/>
    <m/>
    <s v="3-5 Years"/>
    <s v="0-2 Years"/>
    <x v="2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x v="0"/>
    <n v="1"/>
    <n v="0"/>
    <n v="0"/>
    <n v="0"/>
    <n v="1"/>
    <m/>
    <m/>
    <s v="0-2 Years"/>
    <s v="0-2 Years"/>
    <x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x v="1"/>
    <n v="4"/>
    <n v="3"/>
    <n v="0"/>
    <n v="3"/>
    <n v="1"/>
    <m/>
    <m/>
    <s v="3-5 Years"/>
    <s v="0-2 Years"/>
    <x v="2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x v="1"/>
    <n v="0"/>
    <n v="0"/>
    <n v="0"/>
    <n v="0"/>
    <n v="1"/>
    <m/>
    <m/>
    <s v="0-2 Years"/>
    <s v="0-2 Years"/>
    <x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x v="1"/>
    <n v="2"/>
    <n v="2"/>
    <n v="2"/>
    <n v="2"/>
    <n v="1"/>
    <m/>
    <m/>
    <s v="0-2 Years"/>
    <s v="0-2 Years"/>
    <x v="1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x v="1"/>
    <n v="6"/>
    <n v="5"/>
    <n v="3"/>
    <n v="3"/>
    <n v="1"/>
    <m/>
    <m/>
    <s v="6-10 Years"/>
    <s v="3-5 Years"/>
    <x v="2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x v="1"/>
    <n v="4"/>
    <n v="2"/>
    <n v="0"/>
    <n v="3"/>
    <n v="1"/>
    <m/>
    <m/>
    <s v="3-5 Years"/>
    <s v="0-2 Years"/>
    <x v="1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x v="1"/>
    <n v="7"/>
    <n v="7"/>
    <n v="1"/>
    <n v="7"/>
    <n v="1"/>
    <m/>
    <m/>
    <s v="6-10 Years"/>
    <s v="0-2 Years"/>
    <x v="2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x v="0"/>
    <n v="1"/>
    <n v="0"/>
    <n v="0"/>
    <n v="0"/>
    <n v="1"/>
    <m/>
    <m/>
    <s v="0-2 Years"/>
    <s v="0-2 Years"/>
    <x v="4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x v="2"/>
    <n v="10"/>
    <n v="7"/>
    <n v="0"/>
    <n v="1"/>
    <n v="1"/>
    <m/>
    <m/>
    <s v="6-10 Years"/>
    <s v="0-2 Years"/>
    <x v="2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x v="1"/>
    <n v="7"/>
    <n v="7"/>
    <n v="1"/>
    <n v="7"/>
    <n v="1"/>
    <m/>
    <m/>
    <s v="6-10 Years"/>
    <s v="0-2 Years"/>
    <x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x v="2"/>
    <n v="10"/>
    <n v="7"/>
    <n v="8"/>
    <n v="9"/>
    <n v="1"/>
    <m/>
    <m/>
    <s v="6-10 Years"/>
    <s v="6-10 Years"/>
    <x v="2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x v="1"/>
    <n v="20"/>
    <n v="11"/>
    <n v="13"/>
    <n v="17"/>
    <n v="1"/>
    <m/>
    <m/>
    <s v="16-20 Years"/>
    <s v="11-15 Years"/>
    <x v="0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x v="1"/>
    <n v="2"/>
    <n v="1"/>
    <n v="2"/>
    <n v="2"/>
    <n v="1"/>
    <m/>
    <m/>
    <s v="0-2 Years"/>
    <s v="0-2 Years"/>
    <x v="4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x v="2"/>
    <n v="6"/>
    <n v="3"/>
    <n v="1"/>
    <n v="4"/>
    <n v="1"/>
    <m/>
    <m/>
    <s v="6-10 Years"/>
    <s v="0-2 Years"/>
    <x v="1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x v="3"/>
    <n v="4"/>
    <n v="3"/>
    <n v="0"/>
    <n v="3"/>
    <n v="1"/>
    <m/>
    <m/>
    <s v="3-5 Years"/>
    <s v="0-2 Years"/>
    <x v="0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x v="1"/>
    <n v="11"/>
    <n v="7"/>
    <n v="1"/>
    <n v="9"/>
    <n v="1"/>
    <m/>
    <m/>
    <s v="11-15 Years"/>
    <s v="0-2 Years"/>
    <x v="3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x v="1"/>
    <n v="2"/>
    <n v="2"/>
    <n v="2"/>
    <n v="2"/>
    <n v="1"/>
    <m/>
    <m/>
    <s v="0-2 Years"/>
    <s v="0-2 Years"/>
    <x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x v="1"/>
    <n v="8"/>
    <n v="7"/>
    <n v="0"/>
    <n v="7"/>
    <n v="1"/>
    <m/>
    <m/>
    <s v="6-10 Years"/>
    <s v="0-2 Years"/>
    <x v="2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x v="1"/>
    <n v="7"/>
    <n v="7"/>
    <n v="7"/>
    <n v="7"/>
    <n v="1"/>
    <m/>
    <m/>
    <s v="6-10 Years"/>
    <s v="6-10 Years"/>
    <x v="0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x v="1"/>
    <n v="14"/>
    <n v="10"/>
    <n v="4"/>
    <n v="10"/>
    <n v="1"/>
    <m/>
    <m/>
    <s v="11-15 Years"/>
    <s v="3-5 Years"/>
    <x v="2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x v="3"/>
    <n v="5"/>
    <n v="1"/>
    <n v="1"/>
    <n v="3"/>
    <n v="1"/>
    <m/>
    <m/>
    <s v="3-5 Years"/>
    <s v="0-2 Years"/>
    <x v="0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x v="1"/>
    <n v="4"/>
    <n v="3"/>
    <n v="1"/>
    <n v="1"/>
    <n v="1"/>
    <m/>
    <m/>
    <s v="3-5 Years"/>
    <s v="0-2 Years"/>
    <x v="4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x v="1"/>
    <n v="11"/>
    <n v="9"/>
    <n v="5"/>
    <n v="7"/>
    <n v="1"/>
    <m/>
    <m/>
    <s v="11-15 Years"/>
    <s v="3-5 Years"/>
    <x v="2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x v="1"/>
    <n v="1"/>
    <n v="0"/>
    <n v="0"/>
    <n v="0"/>
    <n v="1"/>
    <m/>
    <m/>
    <s v="0-2 Years"/>
    <s v="0-2 Years"/>
    <x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x v="2"/>
    <n v="13"/>
    <n v="2"/>
    <n v="4"/>
    <n v="12"/>
    <n v="1"/>
    <m/>
    <m/>
    <s v="11-15 Years"/>
    <s v="3-5 Years"/>
    <x v="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x v="2"/>
    <n v="9"/>
    <n v="7"/>
    <n v="6"/>
    <n v="8"/>
    <n v="1"/>
    <m/>
    <m/>
    <s v="6-10 Years"/>
    <s v="6-10 Years"/>
    <x v="2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x v="0"/>
    <n v="5"/>
    <n v="4"/>
    <n v="1"/>
    <n v="4"/>
    <n v="1"/>
    <m/>
    <m/>
    <s v="3-5 Years"/>
    <s v="0-2 Years"/>
    <x v="1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x v="1"/>
    <n v="10"/>
    <n v="5"/>
    <n v="7"/>
    <n v="7"/>
    <n v="1"/>
    <m/>
    <m/>
    <s v="6-10 Years"/>
    <s v="6-10 Years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x v="3"/>
    <n v="1"/>
    <n v="1"/>
    <n v="0"/>
    <n v="0"/>
    <n v="1"/>
    <m/>
    <m/>
    <s v="0-2 Years"/>
    <s v="0-2 Years"/>
    <x v="4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x v="1"/>
    <n v="3"/>
    <n v="2"/>
    <n v="1"/>
    <n v="2"/>
    <n v="1"/>
    <m/>
    <m/>
    <s v="3-5 Years"/>
    <s v="0-2 Years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x v="1"/>
    <n v="10"/>
    <n v="9"/>
    <n v="0"/>
    <n v="9"/>
    <n v="1"/>
    <m/>
    <m/>
    <s v="6-10 Years"/>
    <s v="0-2 Years"/>
    <x v="1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x v="2"/>
    <n v="6"/>
    <n v="5"/>
    <n v="0"/>
    <n v="1"/>
    <n v="1"/>
    <m/>
    <m/>
    <s v="6-10 Years"/>
    <s v="0-2 Years"/>
    <x v="2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x v="1"/>
    <n v="10"/>
    <n v="9"/>
    <n v="1"/>
    <n v="8"/>
    <n v="1"/>
    <m/>
    <m/>
    <s v="6-10 Years"/>
    <s v="0-2 Years"/>
    <x v="2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x v="1"/>
    <n v="6"/>
    <n v="1"/>
    <n v="0"/>
    <n v="5"/>
    <n v="1"/>
    <m/>
    <m/>
    <s v="6-10 Years"/>
    <s v="0-2 Years"/>
    <x v="3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x v="1"/>
    <n v="8"/>
    <n v="7"/>
    <n v="0"/>
    <n v="7"/>
    <n v="1"/>
    <m/>
    <m/>
    <s v="6-10 Years"/>
    <s v="0-2 Years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x v="3"/>
    <n v="1"/>
    <n v="0"/>
    <n v="0"/>
    <n v="0"/>
    <n v="1"/>
    <m/>
    <m/>
    <s v="0-2 Years"/>
    <s v="0-2 Years"/>
    <x v="1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x v="2"/>
    <n v="11"/>
    <n v="10"/>
    <n v="0"/>
    <n v="7"/>
    <n v="1"/>
    <m/>
    <m/>
    <s v="11-15 Years"/>
    <s v="0-2 Years"/>
    <x v="0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x v="2"/>
    <n v="1"/>
    <n v="0"/>
    <n v="0"/>
    <n v="0"/>
    <n v="1"/>
    <m/>
    <m/>
    <s v="0-2 Years"/>
    <s v="0-2 Years"/>
    <x v="1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x v="1"/>
    <n v="5"/>
    <n v="3"/>
    <n v="0"/>
    <n v="3"/>
    <n v="1"/>
    <m/>
    <m/>
    <s v="3-5 Years"/>
    <s v="0-2 Years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x v="1"/>
    <n v="6"/>
    <n v="0"/>
    <n v="1"/>
    <n v="0"/>
    <n v="1"/>
    <m/>
    <m/>
    <s v="6-10 Years"/>
    <s v="0-2 Years"/>
    <x v="2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x v="3"/>
    <n v="1"/>
    <n v="0"/>
    <n v="0"/>
    <n v="0"/>
    <n v="1"/>
    <m/>
    <m/>
    <s v="0-2 Years"/>
    <s v="0-2 Years"/>
    <x v="1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x v="2"/>
    <n v="7"/>
    <n v="7"/>
    <n v="1"/>
    <n v="7"/>
    <n v="1"/>
    <m/>
    <m/>
    <s v="6-10 Years"/>
    <s v="0-2 Years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x v="2"/>
    <n v="1"/>
    <n v="0"/>
    <n v="0"/>
    <n v="0"/>
    <n v="1"/>
    <m/>
    <m/>
    <s v="0-2 Years"/>
    <s v="0-2 Years"/>
    <x v="2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x v="1"/>
    <n v="22"/>
    <n v="9"/>
    <n v="3"/>
    <n v="10"/>
    <n v="1"/>
    <m/>
    <m/>
    <s v="21+ Years"/>
    <s v="3-5 Years"/>
    <x v="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x v="1"/>
    <n v="9"/>
    <n v="8"/>
    <n v="0"/>
    <n v="8"/>
    <n v="1"/>
    <m/>
    <m/>
    <s v="6-10 Years"/>
    <s v="0-2 Years"/>
    <x v="2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x v="1"/>
    <n v="1"/>
    <n v="0"/>
    <n v="0"/>
    <n v="1"/>
    <n v="1"/>
    <m/>
    <m/>
    <s v="0-2 Years"/>
    <s v="0-2 Years"/>
    <x v="4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x v="1"/>
    <n v="1"/>
    <n v="0"/>
    <n v="0"/>
    <n v="1"/>
    <n v="1"/>
    <m/>
    <m/>
    <s v="0-2 Years"/>
    <s v="0-2 Years"/>
    <x v="4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x v="1"/>
    <n v="1"/>
    <n v="0"/>
    <n v="1"/>
    <n v="0"/>
    <n v="1"/>
    <m/>
    <m/>
    <s v="0-2 Years"/>
    <s v="0-2 Years"/>
    <x v="4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x v="2"/>
    <n v="8"/>
    <n v="5"/>
    <n v="2"/>
    <n v="2"/>
    <n v="1"/>
    <m/>
    <m/>
    <s v="6-10 Years"/>
    <s v="0-2 Years"/>
    <x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x v="1"/>
    <n v="24"/>
    <n v="10"/>
    <n v="1"/>
    <n v="11"/>
    <n v="1"/>
    <m/>
    <m/>
    <s v="21+ Years"/>
    <s v="0-2 Years"/>
    <x v="0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x v="1"/>
    <n v="33"/>
    <n v="9"/>
    <n v="15"/>
    <n v="0"/>
    <n v="1"/>
    <m/>
    <m/>
    <s v="21+ Years"/>
    <s v="11-15 Years"/>
    <x v="1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x v="0"/>
    <n v="2"/>
    <n v="2"/>
    <n v="2"/>
    <n v="2"/>
    <n v="1"/>
    <m/>
    <m/>
    <s v="0-2 Years"/>
    <s v="0-2 Years"/>
    <x v="4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x v="1"/>
    <n v="11"/>
    <n v="4"/>
    <n v="0"/>
    <n v="8"/>
    <n v="1"/>
    <m/>
    <m/>
    <s v="11-15 Years"/>
    <s v="0-2 Years"/>
    <x v="1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x v="1"/>
    <n v="3"/>
    <n v="2"/>
    <n v="0"/>
    <n v="2"/>
    <n v="1"/>
    <m/>
    <m/>
    <s v="3-5 Years"/>
    <s v="0-2 Years"/>
    <x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x v="2"/>
    <n v="29"/>
    <n v="10"/>
    <n v="11"/>
    <n v="10"/>
    <n v="1"/>
    <m/>
    <m/>
    <s v="21+ Years"/>
    <s v="11-15 Years"/>
    <x v="1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x v="2"/>
    <n v="9"/>
    <n v="7"/>
    <n v="5"/>
    <n v="4"/>
    <n v="1"/>
    <m/>
    <m/>
    <s v="6-10 Years"/>
    <s v="3-5 Years"/>
    <x v="3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x v="3"/>
    <n v="11"/>
    <n v="8"/>
    <n v="5"/>
    <n v="10"/>
    <n v="1"/>
    <m/>
    <m/>
    <s v="11-15 Years"/>
    <s v="3-5 Years"/>
    <x v="2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x v="2"/>
    <n v="4"/>
    <n v="2"/>
    <n v="0"/>
    <n v="2"/>
    <n v="1"/>
    <m/>
    <m/>
    <s v="3-5 Years"/>
    <s v="0-2 Years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x v="2"/>
    <n v="25"/>
    <n v="9"/>
    <n v="14"/>
    <n v="13"/>
    <n v="1"/>
    <m/>
    <m/>
    <s v="21+ Years"/>
    <s v="11-15 Years"/>
    <x v="0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x v="3"/>
    <n v="10"/>
    <n v="9"/>
    <n v="1"/>
    <n v="8"/>
    <n v="1"/>
    <m/>
    <m/>
    <s v="6-10 Years"/>
    <s v="0-2 Years"/>
    <x v="2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x v="1"/>
    <n v="3"/>
    <n v="2"/>
    <n v="2"/>
    <n v="2"/>
    <n v="1"/>
    <m/>
    <m/>
    <s v="3-5 Years"/>
    <s v="0-2 Years"/>
    <x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x v="1"/>
    <n v="1"/>
    <n v="0"/>
    <n v="0"/>
    <n v="0"/>
    <n v="1"/>
    <m/>
    <m/>
    <s v="0-2 Years"/>
    <s v="0-2 Years"/>
    <x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x v="3"/>
    <n v="21"/>
    <n v="7"/>
    <n v="15"/>
    <n v="17"/>
    <n v="1"/>
    <m/>
    <m/>
    <s v="21+ Years"/>
    <s v="11-15 Years"/>
    <x v="0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x v="1"/>
    <n v="16"/>
    <n v="14"/>
    <n v="5"/>
    <n v="12"/>
    <n v="1"/>
    <m/>
    <m/>
    <s v="16-20 Years"/>
    <s v="3-5 Years"/>
    <x v="0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x v="1"/>
    <n v="10"/>
    <n v="7"/>
    <n v="0"/>
    <n v="5"/>
    <n v="1"/>
    <m/>
    <m/>
    <s v="6-10 Years"/>
    <s v="0-2 Years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x v="1"/>
    <n v="2"/>
    <n v="2"/>
    <n v="2"/>
    <n v="2"/>
    <n v="1"/>
    <m/>
    <m/>
    <s v="0-2 Years"/>
    <s v="0-2 Years"/>
    <x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x v="2"/>
    <n v="7"/>
    <n v="0"/>
    <n v="7"/>
    <n v="7"/>
    <n v="1"/>
    <m/>
    <m/>
    <s v="6-10 Years"/>
    <s v="6-10 Years"/>
    <x v="1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x v="1"/>
    <n v="8"/>
    <n v="4"/>
    <n v="1"/>
    <n v="7"/>
    <n v="1"/>
    <m/>
    <m/>
    <s v="6-10 Years"/>
    <s v="0-2 Years"/>
    <x v="2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x v="1"/>
    <n v="7"/>
    <n v="7"/>
    <n v="7"/>
    <n v="7"/>
    <n v="1"/>
    <m/>
    <m/>
    <s v="6-10 Years"/>
    <s v="6-10 Years"/>
    <x v="2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x v="2"/>
    <n v="3"/>
    <n v="2"/>
    <n v="1"/>
    <n v="2"/>
    <n v="1"/>
    <m/>
    <m/>
    <s v="3-5 Years"/>
    <s v="0-2 Years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x v="2"/>
    <n v="2"/>
    <n v="2"/>
    <n v="2"/>
    <n v="1"/>
    <n v="1"/>
    <m/>
    <m/>
    <s v="0-2 Years"/>
    <s v="0-2 Years"/>
    <x v="4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x v="3"/>
    <n v="10"/>
    <n v="7"/>
    <n v="0"/>
    <n v="8"/>
    <n v="1"/>
    <m/>
    <m/>
    <s v="6-10 Years"/>
    <s v="0-2 Years"/>
    <x v="2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x v="1"/>
    <n v="0"/>
    <n v="0"/>
    <n v="0"/>
    <n v="0"/>
    <n v="1"/>
    <m/>
    <m/>
    <s v="0-2 Years"/>
    <s v="0-2 Years"/>
    <x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x v="1"/>
    <n v="19"/>
    <n v="9"/>
    <n v="15"/>
    <n v="2"/>
    <n v="1"/>
    <m/>
    <m/>
    <s v="16-20 Years"/>
    <s v="11-15 Years"/>
    <x v="0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x v="1"/>
    <n v="2"/>
    <n v="2"/>
    <n v="2"/>
    <n v="2"/>
    <n v="1"/>
    <m/>
    <m/>
    <s v="0-2 Years"/>
    <s v="0-2 Years"/>
    <x v="3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x v="1"/>
    <n v="10"/>
    <n v="4"/>
    <n v="1"/>
    <n v="1"/>
    <n v="1"/>
    <m/>
    <m/>
    <s v="6-10 Years"/>
    <s v="0-2 Years"/>
    <x v="2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x v="1"/>
    <n v="5"/>
    <n v="2"/>
    <n v="0"/>
    <n v="3"/>
    <n v="1"/>
    <m/>
    <m/>
    <s v="3-5 Years"/>
    <s v="0-2 Years"/>
    <x v="0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x v="1"/>
    <n v="9"/>
    <n v="2"/>
    <n v="6"/>
    <n v="7"/>
    <n v="1"/>
    <m/>
    <m/>
    <s v="6-10 Years"/>
    <s v="6-10 Years"/>
    <x v="2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x v="1"/>
    <n v="7"/>
    <n v="7"/>
    <n v="1"/>
    <n v="7"/>
    <n v="1"/>
    <m/>
    <m/>
    <s v="6-10 Years"/>
    <s v="0-2 Years"/>
    <x v="0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x v="3"/>
    <n v="7"/>
    <n v="6"/>
    <n v="5"/>
    <n v="7"/>
    <n v="1"/>
    <m/>
    <m/>
    <s v="6-10 Years"/>
    <s v="3-5 Years"/>
    <x v="1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x v="1"/>
    <n v="9"/>
    <n v="8"/>
    <n v="7"/>
    <n v="5"/>
    <n v="1"/>
    <m/>
    <m/>
    <s v="6-10 Years"/>
    <s v="6-10 Years"/>
    <x v="2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x v="1"/>
    <n v="3"/>
    <n v="2"/>
    <n v="1"/>
    <n v="2"/>
    <n v="1"/>
    <m/>
    <m/>
    <s v="3-5 Years"/>
    <s v="0-2 Years"/>
    <x v="1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x v="1"/>
    <n v="5"/>
    <n v="4"/>
    <n v="1"/>
    <n v="0"/>
    <n v="1"/>
    <m/>
    <m/>
    <s v="3-5 Years"/>
    <s v="0-2 Years"/>
    <x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x v="2"/>
    <n v="8"/>
    <n v="7"/>
    <n v="7"/>
    <n v="7"/>
    <n v="1"/>
    <m/>
    <m/>
    <s v="6-10 Years"/>
    <s v="6-10 Years"/>
    <x v="1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x v="1"/>
    <n v="9"/>
    <n v="1"/>
    <n v="0"/>
    <n v="8"/>
    <n v="1"/>
    <m/>
    <m/>
    <s v="6-10 Years"/>
    <s v="0-2 Years"/>
    <x v="2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x v="1"/>
    <n v="8"/>
    <n v="7"/>
    <n v="1"/>
    <n v="7"/>
    <n v="1"/>
    <m/>
    <m/>
    <s v="6-10 Years"/>
    <s v="0-2 Years"/>
    <x v="0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x v="2"/>
    <n v="10"/>
    <n v="8"/>
    <n v="9"/>
    <n v="6"/>
    <n v="1"/>
    <m/>
    <m/>
    <s v="6-10 Years"/>
    <s v="6-10 Years"/>
    <x v="2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x v="1"/>
    <n v="19"/>
    <n v="2"/>
    <n v="11"/>
    <n v="9"/>
    <n v="1"/>
    <m/>
    <m/>
    <s v="16-20 Years"/>
    <s v="11-15 Years"/>
    <x v="0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x v="3"/>
    <n v="3"/>
    <n v="2"/>
    <n v="2"/>
    <n v="2"/>
    <n v="1"/>
    <m/>
    <m/>
    <s v="3-5 Years"/>
    <s v="0-2 Years"/>
    <x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x v="3"/>
    <n v="3"/>
    <n v="2"/>
    <n v="1"/>
    <n v="2"/>
    <n v="1"/>
    <m/>
    <m/>
    <s v="3-5 Years"/>
    <s v="0-2 Years"/>
    <x v="0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x v="2"/>
    <n v="20"/>
    <n v="8"/>
    <n v="2"/>
    <n v="10"/>
    <n v="1"/>
    <m/>
    <m/>
    <s v="16-20 Years"/>
    <s v="0-2 Years"/>
    <x v="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x v="1"/>
    <n v="19"/>
    <n v="9"/>
    <n v="9"/>
    <n v="11"/>
    <n v="1"/>
    <m/>
    <m/>
    <s v="16-20 Years"/>
    <s v="6-10 Years"/>
    <x v="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x v="1"/>
    <n v="7"/>
    <n v="3"/>
    <n v="7"/>
    <n v="7"/>
    <n v="1"/>
    <m/>
    <m/>
    <s v="6-10 Years"/>
    <s v="6-10 Years"/>
    <x v="3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x v="1"/>
    <n v="4"/>
    <n v="2"/>
    <n v="0"/>
    <n v="0"/>
    <n v="1"/>
    <m/>
    <m/>
    <s v="3-5 Years"/>
    <s v="0-2 Years"/>
    <x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x v="2"/>
    <n v="9"/>
    <n v="7"/>
    <n v="1"/>
    <n v="6"/>
    <n v="1"/>
    <m/>
    <m/>
    <s v="6-10 Years"/>
    <s v="0-2 Years"/>
    <x v="2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x v="1"/>
    <n v="9"/>
    <n v="8"/>
    <n v="8"/>
    <n v="8"/>
    <n v="1"/>
    <m/>
    <m/>
    <s v="6-10 Years"/>
    <s v="6-10 Years"/>
    <x v="0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x v="1"/>
    <n v="9"/>
    <n v="3"/>
    <n v="1"/>
    <n v="7"/>
    <n v="1"/>
    <m/>
    <m/>
    <s v="6-10 Years"/>
    <s v="0-2 Years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x v="1"/>
    <n v="9"/>
    <n v="6"/>
    <n v="1"/>
    <n v="1"/>
    <n v="1"/>
    <m/>
    <m/>
    <s v="6-10 Years"/>
    <s v="0-2 Years"/>
    <x v="2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x v="1"/>
    <n v="33"/>
    <n v="9"/>
    <n v="0"/>
    <n v="10"/>
    <n v="1"/>
    <m/>
    <m/>
    <s v="21+ Years"/>
    <s v="0-2 Years"/>
    <x v="1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x v="1"/>
    <n v="7"/>
    <n v="7"/>
    <n v="1"/>
    <n v="7"/>
    <n v="1"/>
    <m/>
    <m/>
    <s v="6-10 Years"/>
    <s v="0-2 Years"/>
    <x v="0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x v="3"/>
    <n v="10"/>
    <n v="8"/>
    <n v="9"/>
    <n v="6"/>
    <n v="1"/>
    <m/>
    <m/>
    <s v="6-10 Years"/>
    <s v="6-10 Years"/>
    <x v="2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x v="2"/>
    <n v="3"/>
    <n v="2"/>
    <n v="1"/>
    <n v="2"/>
    <n v="1"/>
    <m/>
    <m/>
    <s v="3-5 Years"/>
    <s v="0-2 Years"/>
    <x v="4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x v="2"/>
    <n v="10"/>
    <n v="9"/>
    <n v="5"/>
    <n v="9"/>
    <n v="1"/>
    <m/>
    <m/>
    <s v="6-10 Years"/>
    <s v="3-5 Years"/>
    <x v="3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x v="1"/>
    <n v="4"/>
    <n v="2"/>
    <n v="0"/>
    <n v="3"/>
    <n v="1"/>
    <m/>
    <m/>
    <s v="3-5 Years"/>
    <s v="0-2 Years"/>
    <x v="0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x v="2"/>
    <n v="15"/>
    <n v="7"/>
    <n v="6"/>
    <n v="13"/>
    <n v="1"/>
    <m/>
    <m/>
    <s v="11-15 Years"/>
    <s v="6-10 Years"/>
    <x v="0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x v="1"/>
    <n v="10"/>
    <n v="9"/>
    <n v="0"/>
    <n v="8"/>
    <n v="1"/>
    <m/>
    <m/>
    <s v="6-10 Years"/>
    <s v="0-2 Years"/>
    <x v="1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x v="1"/>
    <n v="1"/>
    <n v="0"/>
    <n v="0"/>
    <n v="0"/>
    <n v="1"/>
    <m/>
    <m/>
    <s v="0-2 Years"/>
    <s v="0-2 Years"/>
    <x v="2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x v="2"/>
    <n v="5"/>
    <n v="2"/>
    <n v="0"/>
    <n v="3"/>
    <n v="1"/>
    <m/>
    <m/>
    <s v="3-5 Years"/>
    <s v="0-2 Years"/>
    <x v="1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x v="3"/>
    <n v="0"/>
    <n v="0"/>
    <n v="0"/>
    <n v="0"/>
    <n v="1"/>
    <m/>
    <m/>
    <s v="0-2 Years"/>
    <s v="0-2 Years"/>
    <x v="4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x v="1"/>
    <n v="9"/>
    <n v="7"/>
    <n v="0"/>
    <n v="0"/>
    <n v="1"/>
    <m/>
    <m/>
    <s v="6-10 Years"/>
    <s v="0-2 Years"/>
    <x v="2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x v="1"/>
    <n v="6"/>
    <n v="2"/>
    <n v="0"/>
    <n v="0"/>
    <n v="1"/>
    <m/>
    <m/>
    <s v="6-10 Years"/>
    <s v="0-2 Years"/>
    <x v="2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x v="2"/>
    <n v="19"/>
    <n v="7"/>
    <n v="3"/>
    <n v="8"/>
    <n v="1"/>
    <m/>
    <m/>
    <s v="16-20 Years"/>
    <s v="3-5 Years"/>
    <x v="1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x v="1"/>
    <n v="19"/>
    <n v="16"/>
    <n v="15"/>
    <n v="9"/>
    <n v="1"/>
    <m/>
    <m/>
    <s v="16-20 Years"/>
    <s v="11-15 Years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x v="1"/>
    <n v="5"/>
    <n v="4"/>
    <n v="0"/>
    <n v="0"/>
    <n v="1"/>
    <m/>
    <m/>
    <s v="3-5 Years"/>
    <s v="0-2 Years"/>
    <x v="2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x v="1"/>
    <n v="12"/>
    <n v="11"/>
    <n v="11"/>
    <n v="8"/>
    <n v="1"/>
    <m/>
    <m/>
    <s v="11-15 Years"/>
    <s v="11-15 Years"/>
    <x v="0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x v="1"/>
    <n v="8"/>
    <n v="7"/>
    <n v="7"/>
    <n v="7"/>
    <n v="1"/>
    <m/>
    <m/>
    <s v="6-10 Years"/>
    <s v="6-10 Years"/>
    <x v="2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x v="3"/>
    <n v="1"/>
    <n v="0"/>
    <n v="0"/>
    <n v="0"/>
    <n v="1"/>
    <m/>
    <m/>
    <s v="0-2 Years"/>
    <s v="0-2 Years"/>
    <x v="2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x v="2"/>
    <n v="4"/>
    <n v="2"/>
    <n v="3"/>
    <n v="2"/>
    <n v="1"/>
    <m/>
    <m/>
    <s v="3-5 Years"/>
    <s v="3-5 Years"/>
    <x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x v="1"/>
    <n v="4"/>
    <n v="2"/>
    <n v="0"/>
    <n v="3"/>
    <n v="1"/>
    <m/>
    <m/>
    <s v="3-5 Years"/>
    <s v="0-2 Years"/>
    <x v="0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x v="3"/>
    <n v="14"/>
    <n v="11"/>
    <n v="4"/>
    <n v="11"/>
    <n v="1"/>
    <m/>
    <m/>
    <s v="11-15 Years"/>
    <s v="3-5 Years"/>
    <x v="2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x v="1"/>
    <n v="5"/>
    <n v="3"/>
    <n v="0"/>
    <n v="4"/>
    <n v="1"/>
    <m/>
    <m/>
    <s v="3-5 Years"/>
    <s v="0-2 Years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x v="2"/>
    <n v="10"/>
    <n v="2"/>
    <n v="6"/>
    <n v="7"/>
    <n v="1"/>
    <m/>
    <m/>
    <s v="6-10 Years"/>
    <s v="6-10 Years"/>
    <x v="2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x v="3"/>
    <n v="5"/>
    <n v="4"/>
    <n v="1"/>
    <n v="4"/>
    <n v="1"/>
    <m/>
    <m/>
    <s v="3-5 Years"/>
    <s v="0-2 Years"/>
    <x v="0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x v="1"/>
    <n v="4"/>
    <n v="2"/>
    <n v="3"/>
    <n v="2"/>
    <n v="1"/>
    <m/>
    <m/>
    <s v="3-5 Years"/>
    <s v="3-5 Years"/>
    <x v="1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x v="2"/>
    <n v="6"/>
    <n v="2"/>
    <n v="3"/>
    <n v="3"/>
    <n v="1"/>
    <m/>
    <m/>
    <s v="6-10 Years"/>
    <s v="3-5 Years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x v="1"/>
    <n v="6"/>
    <n v="4"/>
    <n v="1"/>
    <n v="3"/>
    <n v="1"/>
    <m/>
    <m/>
    <s v="6-10 Years"/>
    <s v="0-2 Years"/>
    <x v="0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x v="3"/>
    <n v="5"/>
    <n v="4"/>
    <n v="1"/>
    <n v="2"/>
    <n v="1"/>
    <m/>
    <m/>
    <s v="3-5 Years"/>
    <s v="0-2 Years"/>
    <x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x v="2"/>
    <n v="3"/>
    <n v="2"/>
    <n v="1"/>
    <n v="2"/>
    <n v="1"/>
    <m/>
    <m/>
    <s v="3-5 Years"/>
    <s v="0-2 Years"/>
    <x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x v="1"/>
    <n v="6"/>
    <n v="4"/>
    <n v="0"/>
    <n v="5"/>
    <n v="1"/>
    <m/>
    <m/>
    <s v="6-10 Years"/>
    <s v="0-2 Years"/>
    <x v="0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x v="2"/>
    <n v="3"/>
    <n v="2"/>
    <n v="1"/>
    <n v="2"/>
    <n v="1"/>
    <m/>
    <m/>
    <s v="3-5 Years"/>
    <s v="0-2 Years"/>
    <x v="4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x v="2"/>
    <n v="5"/>
    <n v="3"/>
    <n v="0"/>
    <n v="2"/>
    <n v="1"/>
    <m/>
    <m/>
    <s v="3-5 Years"/>
    <s v="0-2 Years"/>
    <x v="1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x v="0"/>
    <n v="20"/>
    <n v="7"/>
    <n v="1"/>
    <n v="8"/>
    <n v="1"/>
    <m/>
    <m/>
    <s v="16-20 Years"/>
    <s v="0-2 Years"/>
    <x v="0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x v="1"/>
    <n v="6"/>
    <n v="2"/>
    <n v="4"/>
    <n v="4"/>
    <n v="1"/>
    <m/>
    <m/>
    <s v="6-10 Years"/>
    <s v="3-5 Years"/>
    <x v="2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x v="1"/>
    <n v="8"/>
    <n v="2"/>
    <n v="7"/>
    <n v="7"/>
    <n v="1"/>
    <m/>
    <m/>
    <s v="6-10 Years"/>
    <s v="6-10 Years"/>
    <x v="2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x v="1"/>
    <n v="4"/>
    <n v="3"/>
    <n v="1"/>
    <n v="1"/>
    <n v="1"/>
    <m/>
    <m/>
    <s v="3-5 Years"/>
    <s v="0-2 Years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x v="1"/>
    <n v="20"/>
    <n v="7"/>
    <n v="0"/>
    <n v="9"/>
    <n v="1"/>
    <m/>
    <m/>
    <s v="16-20 Years"/>
    <s v="0-2 Years"/>
    <x v="0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x v="0"/>
    <n v="5"/>
    <n v="4"/>
    <n v="0"/>
    <n v="4"/>
    <n v="1"/>
    <m/>
    <m/>
    <s v="3-5 Years"/>
    <s v="0-2 Years"/>
    <x v="1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x v="1"/>
    <n v="3"/>
    <n v="2"/>
    <n v="0"/>
    <n v="2"/>
    <n v="1"/>
    <m/>
    <m/>
    <s v="3-5 Years"/>
    <s v="0-2 Years"/>
    <x v="0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x v="1"/>
    <n v="2"/>
    <n v="2"/>
    <n v="2"/>
    <n v="2"/>
    <n v="1"/>
    <m/>
    <m/>
    <s v="0-2 Years"/>
    <s v="0-2 Years"/>
    <x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x v="2"/>
    <n v="3"/>
    <n v="2"/>
    <n v="0"/>
    <n v="2"/>
    <n v="1"/>
    <m/>
    <m/>
    <s v="3-5 Years"/>
    <s v="0-2 Years"/>
    <x v="4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x v="1"/>
    <n v="7"/>
    <n v="7"/>
    <n v="0"/>
    <n v="7"/>
    <n v="1"/>
    <m/>
    <m/>
    <s v="6-10 Years"/>
    <s v="0-2 Years"/>
    <x v="2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x v="2"/>
    <n v="10"/>
    <n v="9"/>
    <n v="0"/>
    <n v="9"/>
    <n v="1"/>
    <m/>
    <m/>
    <s v="6-10 Years"/>
    <s v="0-2 Years"/>
    <x v="2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x v="1"/>
    <n v="4"/>
    <n v="3"/>
    <n v="1"/>
    <n v="3"/>
    <n v="1"/>
    <m/>
    <m/>
    <s v="3-5 Years"/>
    <s v="0-2 Years"/>
    <x v="1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x v="1"/>
    <n v="8"/>
    <n v="7"/>
    <n v="7"/>
    <n v="7"/>
    <n v="1"/>
    <m/>
    <m/>
    <s v="6-10 Years"/>
    <s v="6-10 Years"/>
    <x v="2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x v="2"/>
    <n v="20"/>
    <n v="7"/>
    <n v="12"/>
    <n v="7"/>
    <n v="1"/>
    <m/>
    <m/>
    <s v="16-20 Years"/>
    <s v="11-15 Years"/>
    <x v="1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x v="1"/>
    <n v="9"/>
    <n v="8"/>
    <n v="1"/>
    <n v="5"/>
    <n v="1"/>
    <m/>
    <m/>
    <s v="6-10 Years"/>
    <s v="0-2 Years"/>
    <x v="3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x v="3"/>
    <n v="7"/>
    <n v="7"/>
    <n v="0"/>
    <n v="0"/>
    <n v="1"/>
    <m/>
    <m/>
    <s v="6-10 Years"/>
    <s v="0-2 Years"/>
    <x v="1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x v="1"/>
    <n v="5"/>
    <n v="4"/>
    <n v="0"/>
    <n v="1"/>
    <n v="1"/>
    <m/>
    <m/>
    <s v="3-5 Years"/>
    <s v="0-2 Years"/>
    <x v="0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x v="1"/>
    <n v="1"/>
    <n v="0"/>
    <n v="0"/>
    <n v="0"/>
    <n v="1"/>
    <m/>
    <m/>
    <s v="0-2 Years"/>
    <s v="0-2 Years"/>
    <x v="2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x v="1"/>
    <n v="3"/>
    <n v="2"/>
    <n v="0"/>
    <n v="2"/>
    <n v="1"/>
    <m/>
    <m/>
    <s v="3-5 Years"/>
    <s v="0-2 Years"/>
    <x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x v="3"/>
    <n v="3"/>
    <n v="2"/>
    <n v="1"/>
    <n v="0"/>
    <n v="1"/>
    <m/>
    <m/>
    <s v="3-5 Years"/>
    <s v="0-2 Years"/>
    <x v="2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x v="1"/>
    <n v="4"/>
    <n v="3"/>
    <n v="1"/>
    <n v="3"/>
    <n v="1"/>
    <m/>
    <m/>
    <s v="3-5 Years"/>
    <s v="0-2 Years"/>
    <x v="2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x v="3"/>
    <n v="1"/>
    <n v="0"/>
    <n v="0"/>
    <n v="0"/>
    <n v="1"/>
    <m/>
    <m/>
    <s v="0-2 Years"/>
    <s v="0-2 Years"/>
    <x v="2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x v="3"/>
    <n v="5"/>
    <n v="0"/>
    <n v="1"/>
    <n v="4"/>
    <n v="1"/>
    <m/>
    <m/>
    <s v="3-5 Years"/>
    <s v="0-2 Years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x v="2"/>
    <n v="10"/>
    <n v="4"/>
    <n v="1"/>
    <n v="8"/>
    <n v="1"/>
    <m/>
    <m/>
    <s v="6-10 Years"/>
    <s v="0-2 Years"/>
    <x v="0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x v="2"/>
    <n v="3"/>
    <n v="2"/>
    <n v="0"/>
    <n v="2"/>
    <n v="1"/>
    <m/>
    <m/>
    <s v="3-5 Years"/>
    <s v="0-2 Years"/>
    <x v="0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x v="2"/>
    <n v="6"/>
    <n v="5"/>
    <n v="1"/>
    <n v="2"/>
    <n v="1"/>
    <m/>
    <m/>
    <s v="6-10 Years"/>
    <s v="0-2 Years"/>
    <x v="1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x v="1"/>
    <n v="3"/>
    <n v="2"/>
    <n v="2"/>
    <n v="2"/>
    <n v="1"/>
    <m/>
    <m/>
    <s v="3-5 Years"/>
    <s v="0-2 Years"/>
    <x v="4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x v="0"/>
    <n v="6"/>
    <n v="5"/>
    <n v="1"/>
    <n v="3"/>
    <n v="1"/>
    <m/>
    <m/>
    <s v="6-10 Years"/>
    <s v="0-2 Years"/>
    <x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x v="3"/>
    <n v="3"/>
    <n v="2"/>
    <n v="1"/>
    <n v="0"/>
    <n v="1"/>
    <m/>
    <m/>
    <s v="3-5 Years"/>
    <s v="0-2 Years"/>
    <x v="3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x v="3"/>
    <n v="20"/>
    <n v="17"/>
    <n v="5"/>
    <n v="6"/>
    <n v="1"/>
    <m/>
    <m/>
    <s v="16-20 Years"/>
    <s v="3-5 Years"/>
    <x v="1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x v="1"/>
    <n v="5"/>
    <n v="4"/>
    <n v="0"/>
    <n v="3"/>
    <n v="1"/>
    <m/>
    <m/>
    <s v="3-5 Years"/>
    <s v="0-2 Years"/>
    <x v="4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x v="2"/>
    <n v="4"/>
    <n v="3"/>
    <n v="0"/>
    <n v="3"/>
    <n v="1"/>
    <m/>
    <m/>
    <s v="3-5 Years"/>
    <s v="0-2 Years"/>
    <x v="2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x v="2"/>
    <n v="5"/>
    <n v="4"/>
    <n v="0"/>
    <n v="2"/>
    <n v="1"/>
    <m/>
    <m/>
    <s v="3-5 Years"/>
    <s v="0-2 Years"/>
    <x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x v="2"/>
    <n v="4"/>
    <n v="2"/>
    <n v="0"/>
    <n v="3"/>
    <n v="1"/>
    <m/>
    <m/>
    <s v="3-5 Years"/>
    <s v="0-2 Years"/>
    <x v="0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x v="3"/>
    <n v="8"/>
    <n v="7"/>
    <n v="0"/>
    <n v="7"/>
    <n v="1"/>
    <m/>
    <m/>
    <s v="6-10 Years"/>
    <s v="0-2 Years"/>
    <x v="0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x v="1"/>
    <n v="13"/>
    <n v="7"/>
    <n v="9"/>
    <n v="9"/>
    <n v="1"/>
    <m/>
    <m/>
    <s v="11-15 Years"/>
    <s v="6-10 Years"/>
    <x v="2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x v="3"/>
    <n v="7"/>
    <n v="7"/>
    <n v="4"/>
    <n v="3"/>
    <n v="1"/>
    <m/>
    <m/>
    <s v="6-10 Years"/>
    <s v="3-5 Years"/>
    <x v="1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x v="3"/>
    <n v="1"/>
    <n v="0"/>
    <n v="0"/>
    <n v="0"/>
    <n v="1"/>
    <m/>
    <m/>
    <s v="0-2 Years"/>
    <s v="0-2 Years"/>
    <x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x v="1"/>
    <n v="10"/>
    <n v="8"/>
    <n v="4"/>
    <n v="7"/>
    <n v="1"/>
    <m/>
    <m/>
    <s v="6-10 Years"/>
    <s v="3-5 Years"/>
    <x v="2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x v="1"/>
    <n v="7"/>
    <n v="7"/>
    <n v="0"/>
    <n v="7"/>
    <n v="1"/>
    <m/>
    <m/>
    <s v="6-10 Years"/>
    <s v="0-2 Years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x v="1"/>
    <n v="3"/>
    <n v="2"/>
    <n v="0"/>
    <n v="2"/>
    <n v="1"/>
    <m/>
    <m/>
    <s v="3-5 Years"/>
    <s v="0-2 Years"/>
    <x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x v="0"/>
    <n v="2"/>
    <n v="2"/>
    <n v="2"/>
    <n v="2"/>
    <n v="1"/>
    <m/>
    <m/>
    <s v="0-2 Years"/>
    <s v="0-2 Years"/>
    <x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x v="3"/>
    <n v="3"/>
    <n v="1"/>
    <n v="1"/>
    <n v="2"/>
    <n v="1"/>
    <m/>
    <m/>
    <s v="3-5 Years"/>
    <s v="0-2 Years"/>
    <x v="0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x v="1"/>
    <n v="2"/>
    <n v="2"/>
    <n v="2"/>
    <n v="2"/>
    <n v="1"/>
    <m/>
    <m/>
    <s v="0-2 Years"/>
    <s v="0-2 Years"/>
    <x v="1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x v="1"/>
    <n v="2"/>
    <n v="2"/>
    <n v="2"/>
    <n v="2"/>
    <n v="1"/>
    <m/>
    <m/>
    <s v="0-2 Years"/>
    <s v="0-2 Years"/>
    <x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x v="1"/>
    <n v="9"/>
    <n v="8"/>
    <n v="4"/>
    <n v="8"/>
    <n v="1"/>
    <m/>
    <m/>
    <s v="6-10 Years"/>
    <s v="3-5 Years"/>
    <x v="0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x v="1"/>
    <n v="5"/>
    <n v="4"/>
    <n v="1"/>
    <n v="3"/>
    <n v="1"/>
    <m/>
    <m/>
    <s v="3-5 Years"/>
    <s v="0-2 Years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x v="1"/>
    <n v="5"/>
    <n v="2"/>
    <n v="0"/>
    <n v="3"/>
    <n v="1"/>
    <m/>
    <m/>
    <s v="3-5 Years"/>
    <s v="0-2 Years"/>
    <x v="0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x v="2"/>
    <n v="9"/>
    <n v="8"/>
    <n v="8"/>
    <n v="8"/>
    <n v="1"/>
    <m/>
    <m/>
    <s v="6-10 Years"/>
    <s v="6-10 Years"/>
    <x v="1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x v="2"/>
    <n v="3"/>
    <n v="2"/>
    <n v="1"/>
    <n v="2"/>
    <n v="1"/>
    <m/>
    <m/>
    <s v="3-5 Years"/>
    <s v="0-2 Years"/>
    <x v="1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x v="3"/>
    <n v="3"/>
    <n v="1"/>
    <n v="1"/>
    <n v="2"/>
    <n v="1"/>
    <m/>
    <m/>
    <s v="3-5 Years"/>
    <s v="0-2 Years"/>
    <x v="0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x v="2"/>
    <n v="5"/>
    <n v="2"/>
    <n v="1"/>
    <n v="3"/>
    <n v="1"/>
    <m/>
    <m/>
    <s v="3-5 Years"/>
    <s v="0-2 Years"/>
    <x v="0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x v="1"/>
    <n v="4"/>
    <n v="3"/>
    <n v="0"/>
    <n v="3"/>
    <n v="1"/>
    <m/>
    <m/>
    <s v="3-5 Years"/>
    <s v="0-2 Years"/>
    <x v="2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x v="1"/>
    <n v="13"/>
    <n v="9"/>
    <n v="3"/>
    <n v="12"/>
    <n v="1"/>
    <m/>
    <m/>
    <s v="11-15 Years"/>
    <s v="3-5 Years"/>
    <x v="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x v="2"/>
    <n v="2"/>
    <n v="1"/>
    <n v="2"/>
    <n v="2"/>
    <n v="1"/>
    <m/>
    <m/>
    <s v="0-2 Years"/>
    <s v="0-2 Years"/>
    <x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x v="1"/>
    <n v="12"/>
    <n v="9"/>
    <n v="5"/>
    <n v="8"/>
    <n v="1"/>
    <m/>
    <m/>
    <s v="11-15 Years"/>
    <s v="3-5 Years"/>
    <x v="0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x v="2"/>
    <n v="1"/>
    <n v="0"/>
    <n v="0"/>
    <n v="0"/>
    <n v="1"/>
    <m/>
    <m/>
    <s v="0-2 Years"/>
    <s v="0-2 Years"/>
    <x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x v="2"/>
    <n v="1"/>
    <n v="0"/>
    <n v="0"/>
    <n v="0"/>
    <n v="1"/>
    <m/>
    <m/>
    <s v="0-2 Years"/>
    <s v="0-2 Years"/>
    <x v="2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x v="2"/>
    <n v="12"/>
    <n v="9"/>
    <n v="2"/>
    <n v="8"/>
    <n v="1"/>
    <m/>
    <m/>
    <s v="11-15 Years"/>
    <s v="0-2 Years"/>
    <x v="3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x v="1"/>
    <n v="8"/>
    <n v="7"/>
    <n v="0"/>
    <n v="7"/>
    <n v="1"/>
    <m/>
    <m/>
    <s v="6-10 Years"/>
    <s v="0-2 Years"/>
    <x v="1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x v="2"/>
    <n v="14"/>
    <n v="8"/>
    <n v="6"/>
    <n v="9"/>
    <n v="1"/>
    <m/>
    <m/>
    <s v="11-15 Years"/>
    <s v="6-10 Years"/>
    <x v="2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x v="3"/>
    <n v="3"/>
    <n v="2"/>
    <n v="1"/>
    <n v="2"/>
    <n v="1"/>
    <m/>
    <m/>
    <s v="3-5 Years"/>
    <s v="0-2 Years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x v="0"/>
    <n v="5"/>
    <n v="3"/>
    <n v="0"/>
    <n v="0"/>
    <n v="1"/>
    <m/>
    <m/>
    <s v="3-5 Years"/>
    <s v="0-2 Years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x v="3"/>
    <n v="15"/>
    <n v="9"/>
    <n v="10"/>
    <n v="10"/>
    <n v="1"/>
    <m/>
    <m/>
    <s v="11-15 Years"/>
    <s v="6-10 Years"/>
    <x v="2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x v="1"/>
    <n v="1"/>
    <n v="0"/>
    <n v="0"/>
    <n v="0"/>
    <n v="1"/>
    <m/>
    <m/>
    <s v="0-2 Years"/>
    <s v="0-2 Years"/>
    <x v="2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x v="2"/>
    <n v="0"/>
    <n v="0"/>
    <n v="0"/>
    <n v="0"/>
    <n v="1"/>
    <m/>
    <m/>
    <s v="0-2 Years"/>
    <s v="0-2 Years"/>
    <x v="4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x v="1"/>
    <n v="1"/>
    <n v="0"/>
    <n v="0"/>
    <n v="0"/>
    <n v="1"/>
    <m/>
    <m/>
    <s v="0-2 Years"/>
    <s v="0-2 Years"/>
    <x v="4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x v="2"/>
    <n v="2"/>
    <n v="2"/>
    <n v="2"/>
    <n v="2"/>
    <n v="1"/>
    <m/>
    <m/>
    <s v="0-2 Years"/>
    <s v="0-2 Years"/>
    <x v="0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x v="1"/>
    <n v="10"/>
    <n v="7"/>
    <n v="0"/>
    <n v="4"/>
    <n v="1"/>
    <m/>
    <m/>
    <s v="6-10 Years"/>
    <s v="0-2 Years"/>
    <x v="2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x v="3"/>
    <n v="5"/>
    <n v="3"/>
    <n v="1"/>
    <n v="3"/>
    <n v="1"/>
    <m/>
    <m/>
    <s v="3-5 Years"/>
    <s v="0-2 Years"/>
    <x v="2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x v="1"/>
    <n v="3"/>
    <n v="2"/>
    <n v="1"/>
    <n v="2"/>
    <n v="1"/>
    <m/>
    <m/>
    <s v="3-5 Years"/>
    <s v="0-2 Years"/>
    <x v="1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x v="1"/>
    <n v="5"/>
    <n v="4"/>
    <n v="0"/>
    <n v="2"/>
    <n v="1"/>
    <m/>
    <m/>
    <s v="3-5 Years"/>
    <s v="0-2 Years"/>
    <x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x v="2"/>
    <n v="5"/>
    <n v="4"/>
    <n v="1"/>
    <n v="2"/>
    <n v="1"/>
    <m/>
    <m/>
    <s v="3-5 Years"/>
    <s v="0-2 Years"/>
    <x v="1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x v="2"/>
    <n v="0"/>
    <n v="0"/>
    <n v="0"/>
    <n v="0"/>
    <n v="1"/>
    <m/>
    <m/>
    <s v="0-2 Years"/>
    <s v="0-2 Years"/>
    <x v="2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x v="0"/>
    <n v="1"/>
    <n v="0"/>
    <n v="0"/>
    <n v="0"/>
    <n v="1"/>
    <m/>
    <m/>
    <s v="0-2 Years"/>
    <s v="0-2 Years"/>
    <x v="2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x v="1"/>
    <n v="4"/>
    <n v="2"/>
    <n v="1"/>
    <n v="3"/>
    <n v="1"/>
    <m/>
    <m/>
    <s v="3-5 Years"/>
    <s v="0-2 Years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x v="1"/>
    <n v="3"/>
    <n v="2"/>
    <n v="1"/>
    <n v="2"/>
    <n v="1"/>
    <m/>
    <m/>
    <s v="3-5 Years"/>
    <s v="0-2 Years"/>
    <x v="1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x v="1"/>
    <n v="3"/>
    <n v="2"/>
    <n v="0"/>
    <n v="2"/>
    <n v="1"/>
    <m/>
    <m/>
    <s v="3-5 Years"/>
    <s v="0-2 Years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x v="2"/>
    <n v="8"/>
    <n v="6"/>
    <n v="1"/>
    <n v="7"/>
    <n v="1"/>
    <m/>
    <m/>
    <s v="6-10 Years"/>
    <s v="0-2 Years"/>
    <x v="2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x v="1"/>
    <n v="0"/>
    <n v="0"/>
    <n v="0"/>
    <n v="0"/>
    <n v="1"/>
    <m/>
    <m/>
    <s v="0-2 Years"/>
    <s v="0-2 Years"/>
    <x v="2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x v="3"/>
    <n v="5"/>
    <n v="2"/>
    <n v="0"/>
    <n v="0"/>
    <n v="1"/>
    <m/>
    <m/>
    <s v="3-5 Years"/>
    <s v="0-2 Years"/>
    <x v="2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x v="1"/>
    <n v="14"/>
    <n v="9"/>
    <n v="1"/>
    <n v="12"/>
    <n v="1"/>
    <m/>
    <m/>
    <s v="11-15 Years"/>
    <s v="0-2 Years"/>
    <x v="1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x v="0"/>
    <n v="9"/>
    <n v="7"/>
    <n v="0"/>
    <n v="7"/>
    <n v="1"/>
    <m/>
    <m/>
    <s v="6-10 Years"/>
    <s v="0-2 Years"/>
    <x v="2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x v="3"/>
    <n v="20"/>
    <n v="6"/>
    <n v="14"/>
    <n v="17"/>
    <n v="1"/>
    <m/>
    <m/>
    <s v="16-20 Years"/>
    <s v="11-15 Years"/>
    <x v="0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x v="1"/>
    <n v="2"/>
    <n v="0"/>
    <n v="2"/>
    <n v="2"/>
    <n v="1"/>
    <m/>
    <m/>
    <s v="0-2 Years"/>
    <s v="0-2 Years"/>
    <x v="0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x v="3"/>
    <n v="13"/>
    <n v="12"/>
    <n v="5"/>
    <n v="1"/>
    <n v="1"/>
    <m/>
    <m/>
    <s v="11-15 Years"/>
    <s v="3-5 Years"/>
    <x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x v="0"/>
    <n v="11"/>
    <n v="8"/>
    <n v="3"/>
    <n v="3"/>
    <n v="1"/>
    <m/>
    <m/>
    <s v="11-15 Years"/>
    <s v="3-5 Years"/>
    <x v="2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x v="1"/>
    <n v="4"/>
    <n v="3"/>
    <n v="1"/>
    <n v="2"/>
    <n v="1"/>
    <m/>
    <m/>
    <s v="3-5 Years"/>
    <s v="0-2 Years"/>
    <x v="4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x v="0"/>
    <n v="5"/>
    <n v="4"/>
    <n v="1"/>
    <n v="0"/>
    <n v="1"/>
    <m/>
    <m/>
    <s v="3-5 Years"/>
    <s v="0-2 Years"/>
    <x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x v="1"/>
    <n v="10"/>
    <n v="9"/>
    <n v="8"/>
    <n v="6"/>
    <n v="1"/>
    <m/>
    <m/>
    <s v="6-10 Years"/>
    <s v="6-10 Years"/>
    <x v="2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x v="0"/>
    <n v="7"/>
    <n v="2"/>
    <n v="7"/>
    <n v="7"/>
    <n v="1"/>
    <m/>
    <m/>
    <s v="6-10 Years"/>
    <s v="6-10 Years"/>
    <x v="2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x v="1"/>
    <n v="32"/>
    <n v="6"/>
    <n v="13"/>
    <n v="9"/>
    <n v="1"/>
    <m/>
    <m/>
    <s v="21+ Years"/>
    <s v="11-15 Years"/>
    <x v="1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x v="1"/>
    <n v="11"/>
    <n v="10"/>
    <n v="5"/>
    <n v="7"/>
    <n v="1"/>
    <m/>
    <m/>
    <s v="11-15 Years"/>
    <s v="3-5 Years"/>
    <x v="2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x v="1"/>
    <n v="1"/>
    <n v="0"/>
    <n v="0"/>
    <n v="0"/>
    <n v="1"/>
    <m/>
    <m/>
    <s v="0-2 Years"/>
    <s v="0-2 Years"/>
    <x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x v="1"/>
    <n v="10"/>
    <n v="8"/>
    <n v="3"/>
    <n v="7"/>
    <n v="1"/>
    <m/>
    <m/>
    <s v="6-10 Years"/>
    <s v="3-5 Years"/>
    <x v="0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x v="1"/>
    <n v="7"/>
    <n v="7"/>
    <n v="0"/>
    <n v="7"/>
    <n v="1"/>
    <m/>
    <m/>
    <s v="6-10 Years"/>
    <s v="0-2 Years"/>
    <x v="2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x v="1"/>
    <n v="5"/>
    <n v="3"/>
    <n v="0"/>
    <n v="2"/>
    <n v="1"/>
    <m/>
    <m/>
    <s v="3-5 Years"/>
    <s v="0-2 Years"/>
    <x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x v="1"/>
    <n v="5"/>
    <n v="4"/>
    <n v="0"/>
    <n v="3"/>
    <n v="1"/>
    <m/>
    <m/>
    <s v="3-5 Years"/>
    <s v="0-2 Years"/>
    <x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x v="0"/>
    <n v="20"/>
    <n v="8"/>
    <n v="13"/>
    <n v="9"/>
    <n v="1"/>
    <m/>
    <m/>
    <s v="16-20 Years"/>
    <s v="11-15 Years"/>
    <x v="0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x v="3"/>
    <n v="8"/>
    <n v="4"/>
    <n v="7"/>
    <n v="1"/>
    <n v="1"/>
    <m/>
    <m/>
    <s v="6-10 Years"/>
    <s v="6-10 Years"/>
    <x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x v="1"/>
    <n v="15"/>
    <n v="14"/>
    <n v="5"/>
    <n v="7"/>
    <n v="1"/>
    <m/>
    <m/>
    <s v="11-15 Years"/>
    <s v="3-5 Years"/>
    <x v="2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x v="1"/>
    <n v="21"/>
    <n v="7"/>
    <n v="7"/>
    <n v="7"/>
    <n v="1"/>
    <m/>
    <m/>
    <s v="21+ Years"/>
    <s v="6-10 Years"/>
    <x v="0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x v="1"/>
    <n v="1"/>
    <n v="1"/>
    <n v="0"/>
    <n v="0"/>
    <n v="1"/>
    <m/>
    <m/>
    <s v="0-2 Years"/>
    <s v="0-2 Years"/>
    <x v="4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x v="1"/>
    <n v="2"/>
    <n v="2"/>
    <n v="2"/>
    <n v="2"/>
    <n v="1"/>
    <m/>
    <m/>
    <s v="0-2 Years"/>
    <s v="0-2 Years"/>
    <x v="0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x v="1"/>
    <n v="10"/>
    <n v="8"/>
    <n v="7"/>
    <n v="7"/>
    <n v="1"/>
    <m/>
    <m/>
    <s v="6-10 Years"/>
    <s v="6-10 Years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x v="1"/>
    <n v="5"/>
    <n v="3"/>
    <n v="4"/>
    <n v="2"/>
    <n v="1"/>
    <m/>
    <m/>
    <s v="3-5 Years"/>
    <s v="3-5 Years"/>
    <x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x v="1"/>
    <n v="7"/>
    <n v="1"/>
    <n v="2"/>
    <n v="5"/>
    <n v="1"/>
    <m/>
    <m/>
    <s v="6-10 Years"/>
    <s v="0-2 Years"/>
    <x v="2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x v="2"/>
    <n v="3"/>
    <n v="2"/>
    <n v="1"/>
    <n v="2"/>
    <n v="1"/>
    <m/>
    <m/>
    <s v="3-5 Years"/>
    <s v="0-2 Years"/>
    <x v="0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x v="1"/>
    <n v="8"/>
    <n v="7"/>
    <n v="7"/>
    <n v="7"/>
    <n v="1"/>
    <m/>
    <m/>
    <s v="6-10 Years"/>
    <s v="6-10 Years"/>
    <x v="1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x v="2"/>
    <n v="1"/>
    <n v="0"/>
    <n v="0"/>
    <n v="0"/>
    <n v="1"/>
    <m/>
    <m/>
    <s v="0-2 Years"/>
    <s v="0-2 Years"/>
    <x v="2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x v="0"/>
    <n v="2"/>
    <n v="2"/>
    <n v="2"/>
    <n v="2"/>
    <n v="1"/>
    <m/>
    <m/>
    <s v="0-2 Years"/>
    <s v="0-2 Years"/>
    <x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x v="1"/>
    <n v="10"/>
    <n v="8"/>
    <n v="6"/>
    <n v="7"/>
    <n v="1"/>
    <m/>
    <m/>
    <s v="6-10 Years"/>
    <s v="6-10 Years"/>
    <x v="2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x v="1"/>
    <n v="6"/>
    <n v="3"/>
    <n v="1"/>
    <n v="2"/>
    <n v="1"/>
    <m/>
    <m/>
    <s v="6-10 Years"/>
    <s v="0-2 Years"/>
    <x v="0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x v="1"/>
    <n v="3"/>
    <n v="0"/>
    <n v="1"/>
    <n v="2"/>
    <n v="1"/>
    <m/>
    <m/>
    <s v="3-5 Years"/>
    <s v="0-2 Years"/>
    <x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x v="1"/>
    <n v="4"/>
    <n v="2"/>
    <n v="1"/>
    <n v="3"/>
    <n v="1"/>
    <m/>
    <m/>
    <s v="3-5 Years"/>
    <s v="0-2 Years"/>
    <x v="2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x v="1"/>
    <n v="1"/>
    <n v="0"/>
    <n v="0"/>
    <n v="0"/>
    <n v="1"/>
    <m/>
    <m/>
    <s v="0-2 Years"/>
    <s v="0-2 Years"/>
    <x v="2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x v="1"/>
    <n v="33"/>
    <n v="7"/>
    <n v="1"/>
    <n v="9"/>
    <n v="1"/>
    <m/>
    <m/>
    <s v="21+ Years"/>
    <s v="0-2 Years"/>
    <x v="1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x v="1"/>
    <n v="5"/>
    <n v="2"/>
    <n v="1"/>
    <n v="4"/>
    <n v="1"/>
    <m/>
    <m/>
    <s v="3-5 Years"/>
    <s v="0-2 Years"/>
    <x v="0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x v="2"/>
    <n v="6"/>
    <n v="5"/>
    <n v="1"/>
    <n v="2"/>
    <n v="1"/>
    <m/>
    <m/>
    <s v="6-10 Years"/>
    <s v="0-2 Years"/>
    <x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x v="2"/>
    <n v="8"/>
    <n v="2"/>
    <n v="7"/>
    <n v="6"/>
    <n v="1"/>
    <m/>
    <m/>
    <s v="6-10 Years"/>
    <s v="6-10 Years"/>
    <x v="1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x v="0"/>
    <n v="1"/>
    <n v="0"/>
    <n v="0"/>
    <n v="0"/>
    <n v="1"/>
    <m/>
    <m/>
    <s v="0-2 Years"/>
    <s v="0-2 Years"/>
    <x v="2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x v="1"/>
    <n v="36"/>
    <n v="6"/>
    <n v="2"/>
    <n v="13"/>
    <n v="1"/>
    <m/>
    <m/>
    <s v="21+ Years"/>
    <s v="0-2 Years"/>
    <x v="1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x v="2"/>
    <n v="2"/>
    <n v="2"/>
    <n v="2"/>
    <n v="1"/>
    <n v="1"/>
    <m/>
    <m/>
    <s v="0-2 Years"/>
    <s v="0-2 Years"/>
    <x v="2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x v="1"/>
    <n v="1"/>
    <n v="0"/>
    <n v="0"/>
    <n v="0"/>
    <n v="1"/>
    <m/>
    <m/>
    <s v="0-2 Years"/>
    <s v="0-2 Years"/>
    <x v="2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x v="1"/>
    <n v="9"/>
    <n v="8"/>
    <n v="7"/>
    <n v="7"/>
    <n v="1"/>
    <m/>
    <m/>
    <s v="6-10 Years"/>
    <s v="6-10 Years"/>
    <x v="0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x v="3"/>
    <n v="3"/>
    <n v="2"/>
    <n v="1"/>
    <n v="2"/>
    <n v="1"/>
    <m/>
    <m/>
    <s v="3-5 Years"/>
    <s v="0-2 Years"/>
    <x v="0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x v="1"/>
    <n v="1"/>
    <n v="0"/>
    <n v="0"/>
    <n v="0"/>
    <n v="1"/>
    <m/>
    <m/>
    <s v="0-2 Years"/>
    <s v="0-2 Years"/>
    <x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x v="1"/>
    <n v="10"/>
    <n v="9"/>
    <n v="1"/>
    <n v="5"/>
    <n v="1"/>
    <m/>
    <m/>
    <s v="6-10 Years"/>
    <s v="0-2 Years"/>
    <x v="2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x v="1"/>
    <n v="5"/>
    <n v="2"/>
    <n v="0"/>
    <n v="4"/>
    <n v="1"/>
    <m/>
    <m/>
    <s v="3-5 Years"/>
    <s v="0-2 Years"/>
    <x v="2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x v="1"/>
    <n v="7"/>
    <n v="6"/>
    <n v="7"/>
    <n v="6"/>
    <n v="1"/>
    <m/>
    <m/>
    <s v="6-10 Years"/>
    <s v="6-10 Years"/>
    <x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x v="3"/>
    <n v="6"/>
    <n v="4"/>
    <n v="1"/>
    <n v="3"/>
    <n v="1"/>
    <m/>
    <m/>
    <s v="6-10 Years"/>
    <s v="0-2 Years"/>
    <x v="2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x v="1"/>
    <n v="1"/>
    <n v="0"/>
    <n v="0"/>
    <n v="0"/>
    <n v="1"/>
    <m/>
    <m/>
    <s v="0-2 Years"/>
    <s v="0-2 Years"/>
    <x v="1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x v="1"/>
    <n v="2"/>
    <n v="2"/>
    <n v="2"/>
    <n v="2"/>
    <n v="1"/>
    <m/>
    <m/>
    <s v="0-2 Years"/>
    <s v="0-2 Years"/>
    <x v="4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x v="1"/>
    <n v="3"/>
    <n v="2"/>
    <n v="0"/>
    <n v="2"/>
    <n v="1"/>
    <m/>
    <m/>
    <s v="3-5 Years"/>
    <s v="0-2 Years"/>
    <x v="0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x v="1"/>
    <n v="1"/>
    <n v="0"/>
    <n v="0"/>
    <n v="1"/>
    <n v="1"/>
    <m/>
    <m/>
    <s v="0-2 Years"/>
    <s v="0-2 Years"/>
    <x v="0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x v="2"/>
    <n v="10"/>
    <n v="9"/>
    <n v="6"/>
    <n v="8"/>
    <n v="1"/>
    <m/>
    <m/>
    <s v="6-10 Years"/>
    <s v="6-10 Years"/>
    <x v="2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x v="2"/>
    <n v="8"/>
    <n v="2"/>
    <n v="7"/>
    <n v="7"/>
    <n v="1"/>
    <m/>
    <m/>
    <s v="6-10 Years"/>
    <s v="6-10 Years"/>
    <x v="2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x v="1"/>
    <n v="5"/>
    <n v="4"/>
    <n v="1"/>
    <n v="2"/>
    <n v="1"/>
    <m/>
    <m/>
    <s v="3-5 Years"/>
    <s v="0-2 Years"/>
    <x v="0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x v="1"/>
    <n v="6"/>
    <n v="4"/>
    <n v="0"/>
    <n v="2"/>
    <n v="1"/>
    <m/>
    <m/>
    <s v="6-10 Years"/>
    <s v="0-2 Years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x v="2"/>
    <n v="1"/>
    <n v="0"/>
    <n v="0"/>
    <n v="1"/>
    <n v="1"/>
    <m/>
    <m/>
    <s v="0-2 Years"/>
    <s v="0-2 Years"/>
    <x v="2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x v="0"/>
    <n v="26"/>
    <n v="0"/>
    <n v="0"/>
    <n v="12"/>
    <n v="1"/>
    <m/>
    <m/>
    <s v="21+ Years"/>
    <s v="0-2 Years"/>
    <x v="1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x v="1"/>
    <n v="1"/>
    <n v="1"/>
    <n v="0"/>
    <n v="0"/>
    <n v="1"/>
    <m/>
    <m/>
    <s v="0-2 Years"/>
    <s v="0-2 Years"/>
    <x v="2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x v="2"/>
    <n v="4"/>
    <n v="2"/>
    <n v="1"/>
    <n v="3"/>
    <n v="1"/>
    <m/>
    <m/>
    <s v="3-5 Years"/>
    <s v="0-2 Years"/>
    <x v="4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x v="1"/>
    <n v="30"/>
    <n v="8"/>
    <n v="12"/>
    <n v="13"/>
    <n v="1"/>
    <m/>
    <m/>
    <s v="21+ Years"/>
    <s v="11-15 Years"/>
    <x v="1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x v="1"/>
    <n v="3"/>
    <n v="2"/>
    <n v="0"/>
    <n v="2"/>
    <n v="1"/>
    <m/>
    <m/>
    <s v="3-5 Years"/>
    <s v="0-2 Years"/>
    <x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x v="2"/>
    <n v="22"/>
    <n v="7"/>
    <n v="1"/>
    <n v="10"/>
    <n v="1"/>
    <m/>
    <m/>
    <s v="21+ Years"/>
    <s v="0-2 Years"/>
    <x v="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x v="2"/>
    <n v="6"/>
    <n v="4"/>
    <n v="1"/>
    <n v="1"/>
    <n v="1"/>
    <m/>
    <m/>
    <s v="6-10 Years"/>
    <s v="0-2 Years"/>
    <x v="2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x v="1"/>
    <n v="10"/>
    <n v="7"/>
    <n v="1"/>
    <n v="4"/>
    <n v="1"/>
    <m/>
    <m/>
    <s v="6-10 Years"/>
    <s v="0-2 Years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x v="1"/>
    <n v="10"/>
    <n v="7"/>
    <n v="4"/>
    <n v="5"/>
    <n v="1"/>
    <m/>
    <m/>
    <s v="6-10 Years"/>
    <s v="3-5 Years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x v="1"/>
    <n v="5"/>
    <n v="2"/>
    <n v="0"/>
    <n v="3"/>
    <n v="1"/>
    <m/>
    <m/>
    <s v="3-5 Years"/>
    <s v="0-2 Years"/>
    <x v="2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x v="1"/>
    <n v="3"/>
    <n v="2"/>
    <n v="1"/>
    <n v="1"/>
    <n v="1"/>
    <m/>
    <m/>
    <s v="3-5 Years"/>
    <s v="0-2 Years"/>
    <x v="0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x v="1"/>
    <n v="9"/>
    <n v="7"/>
    <n v="7"/>
    <n v="2"/>
    <n v="1"/>
    <m/>
    <m/>
    <s v="6-10 Years"/>
    <s v="6-10 Years"/>
    <x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x v="2"/>
    <n v="9"/>
    <n v="6"/>
    <n v="1"/>
    <n v="4"/>
    <n v="1"/>
    <m/>
    <m/>
    <s v="6-10 Years"/>
    <s v="0-2 Years"/>
    <x v="1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x v="1"/>
    <n v="7"/>
    <n v="7"/>
    <n v="7"/>
    <n v="7"/>
    <n v="1"/>
    <m/>
    <m/>
    <s v="6-10 Years"/>
    <s v="6-10 Years"/>
    <x v="0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x v="1"/>
    <n v="7"/>
    <n v="7"/>
    <n v="0"/>
    <n v="7"/>
    <n v="1"/>
    <m/>
    <m/>
    <s v="6-10 Years"/>
    <s v="0-2 Years"/>
    <x v="2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x v="1"/>
    <n v="16"/>
    <n v="15"/>
    <n v="1"/>
    <n v="10"/>
    <n v="1"/>
    <m/>
    <m/>
    <s v="16-20 Years"/>
    <s v="0-2 Years"/>
    <x v="2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x v="2"/>
    <n v="5"/>
    <n v="3"/>
    <n v="0"/>
    <n v="0"/>
    <n v="1"/>
    <m/>
    <m/>
    <s v="3-5 Years"/>
    <s v="0-2 Years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x v="1"/>
    <n v="2"/>
    <n v="2"/>
    <n v="2"/>
    <n v="2"/>
    <n v="1"/>
    <m/>
    <m/>
    <s v="0-2 Years"/>
    <s v="0-2 Years"/>
    <x v="4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x v="3"/>
    <n v="0"/>
    <n v="0"/>
    <n v="0"/>
    <n v="0"/>
    <n v="1"/>
    <m/>
    <m/>
    <s v="0-2 Years"/>
    <s v="0-2 Years"/>
    <x v="4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x v="1"/>
    <n v="5"/>
    <n v="2"/>
    <n v="1"/>
    <n v="0"/>
    <n v="1"/>
    <m/>
    <m/>
    <s v="3-5 Years"/>
    <s v="0-2 Years"/>
    <x v="1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x v="1"/>
    <n v="10"/>
    <n v="8"/>
    <n v="0"/>
    <n v="7"/>
    <n v="1"/>
    <m/>
    <m/>
    <s v="6-10 Years"/>
    <s v="0-2 Years"/>
    <x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x v="1"/>
    <n v="18"/>
    <n v="15"/>
    <n v="14"/>
    <n v="12"/>
    <n v="1"/>
    <m/>
    <m/>
    <s v="16-20 Years"/>
    <s v="11-15 Years"/>
    <x v="0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x v="1"/>
    <n v="14"/>
    <n v="11"/>
    <n v="2"/>
    <n v="9"/>
    <n v="1"/>
    <m/>
    <m/>
    <s v="11-15 Years"/>
    <s v="0-2 Years"/>
    <x v="2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x v="2"/>
    <n v="4"/>
    <n v="3"/>
    <n v="0"/>
    <n v="2"/>
    <n v="1"/>
    <m/>
    <m/>
    <s v="3-5 Years"/>
    <s v="0-2 Years"/>
    <x v="0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x v="0"/>
    <n v="9"/>
    <n v="2"/>
    <n v="3"/>
    <n v="8"/>
    <n v="1"/>
    <m/>
    <m/>
    <s v="6-10 Years"/>
    <s v="3-5 Years"/>
    <x v="0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x v="1"/>
    <n v="10"/>
    <n v="7"/>
    <n v="3"/>
    <n v="9"/>
    <n v="1"/>
    <m/>
    <m/>
    <s v="6-10 Years"/>
    <s v="3-5 Years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x v="3"/>
    <n v="5"/>
    <n v="4"/>
    <n v="0"/>
    <n v="2"/>
    <n v="1"/>
    <m/>
    <m/>
    <s v="3-5 Years"/>
    <s v="0-2 Years"/>
    <x v="0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x v="1"/>
    <n v="13"/>
    <n v="12"/>
    <n v="6"/>
    <n v="0"/>
    <n v="1"/>
    <m/>
    <m/>
    <s v="11-15 Years"/>
    <s v="6-10 Years"/>
    <x v="2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x v="0"/>
    <n v="8"/>
    <n v="4"/>
    <n v="7"/>
    <n v="7"/>
    <n v="1"/>
    <m/>
    <m/>
    <s v="6-10 Years"/>
    <s v="6-10 Years"/>
    <x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x v="2"/>
    <n v="4"/>
    <n v="2"/>
    <n v="3"/>
    <n v="3"/>
    <n v="1"/>
    <m/>
    <m/>
    <s v="3-5 Years"/>
    <s v="3-5 Years"/>
    <x v="0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x v="1"/>
    <n v="10"/>
    <n v="7"/>
    <n v="0"/>
    <n v="2"/>
    <n v="1"/>
    <m/>
    <m/>
    <s v="6-10 Years"/>
    <s v="0-2 Years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x v="1"/>
    <n v="2"/>
    <n v="2"/>
    <n v="2"/>
    <n v="2"/>
    <n v="1"/>
    <m/>
    <m/>
    <s v="0-2 Years"/>
    <s v="0-2 Years"/>
    <x v="1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x v="2"/>
    <n v="2"/>
    <n v="2"/>
    <n v="2"/>
    <n v="2"/>
    <n v="1"/>
    <m/>
    <m/>
    <s v="0-2 Years"/>
    <s v="0-2 Years"/>
    <x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x v="1"/>
    <n v="6"/>
    <n v="3"/>
    <n v="1"/>
    <n v="3"/>
    <n v="1"/>
    <m/>
    <m/>
    <s v="6-10 Years"/>
    <s v="0-2 Years"/>
    <x v="4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x v="1"/>
    <n v="3"/>
    <n v="2"/>
    <n v="0"/>
    <n v="2"/>
    <n v="1"/>
    <m/>
    <m/>
    <s v="3-5 Years"/>
    <s v="0-2 Years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x v="2"/>
    <n v="4"/>
    <n v="2"/>
    <n v="1"/>
    <n v="2"/>
    <n v="1"/>
    <m/>
    <m/>
    <s v="3-5 Years"/>
    <s v="0-2 Years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x v="0"/>
    <n v="4"/>
    <n v="2"/>
    <n v="0"/>
    <n v="3"/>
    <n v="1"/>
    <m/>
    <m/>
    <s v="3-5 Years"/>
    <s v="0-2 Years"/>
    <x v="0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x v="1"/>
    <n v="5"/>
    <n v="2"/>
    <n v="1"/>
    <n v="4"/>
    <n v="1"/>
    <m/>
    <m/>
    <s v="3-5 Years"/>
    <s v="0-2 Years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x v="1"/>
    <n v="3"/>
    <n v="2"/>
    <n v="0"/>
    <n v="2"/>
    <n v="1"/>
    <m/>
    <m/>
    <s v="3-5 Years"/>
    <s v="0-2 Years"/>
    <x v="0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x v="1"/>
    <n v="7"/>
    <n v="7"/>
    <n v="0"/>
    <n v="7"/>
    <n v="1"/>
    <m/>
    <m/>
    <s v="6-10 Years"/>
    <s v="0-2 Years"/>
    <x v="4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x v="1"/>
    <n v="5"/>
    <n v="4"/>
    <n v="1"/>
    <n v="0"/>
    <n v="1"/>
    <m/>
    <m/>
    <s v="3-5 Years"/>
    <s v="0-2 Years"/>
    <x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x v="1"/>
    <n v="4"/>
    <n v="2"/>
    <n v="1"/>
    <n v="2"/>
    <n v="1"/>
    <m/>
    <m/>
    <s v="3-5 Years"/>
    <s v="0-2 Years"/>
    <x v="1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x v="1"/>
    <n v="14"/>
    <n v="11"/>
    <n v="1"/>
    <n v="11"/>
    <n v="1"/>
    <m/>
    <m/>
    <s v="11-15 Years"/>
    <s v="0-2 Years"/>
    <x v="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x v="1"/>
    <n v="2"/>
    <n v="2"/>
    <n v="2"/>
    <n v="2"/>
    <n v="1"/>
    <m/>
    <m/>
    <s v="0-2 Years"/>
    <s v="0-2 Years"/>
    <x v="4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x v="1"/>
    <n v="11"/>
    <n v="8"/>
    <n v="7"/>
    <n v="9"/>
    <n v="1"/>
    <m/>
    <m/>
    <s v="11-15 Years"/>
    <s v="6-10 Years"/>
    <x v="2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x v="1"/>
    <n v="4"/>
    <n v="3"/>
    <n v="1"/>
    <n v="3"/>
    <n v="1"/>
    <m/>
    <m/>
    <s v="3-5 Years"/>
    <s v="0-2 Years"/>
    <x v="0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x v="1"/>
    <n v="15"/>
    <n v="11"/>
    <n v="2"/>
    <n v="12"/>
    <n v="1"/>
    <m/>
    <m/>
    <s v="11-15 Years"/>
    <s v="0-2 Years"/>
    <x v="1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x v="1"/>
    <n v="3"/>
    <n v="2"/>
    <n v="1"/>
    <n v="2"/>
    <n v="1"/>
    <m/>
    <m/>
    <s v="3-5 Years"/>
    <s v="0-2 Years"/>
    <x v="0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x v="1"/>
    <n v="5"/>
    <n v="4"/>
    <n v="0"/>
    <n v="4"/>
    <n v="1"/>
    <m/>
    <m/>
    <s v="3-5 Years"/>
    <s v="0-2 Years"/>
    <x v="0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x v="1"/>
    <n v="10"/>
    <n v="8"/>
    <n v="4"/>
    <n v="7"/>
    <n v="1"/>
    <m/>
    <m/>
    <s v="6-10 Years"/>
    <s v="3-5 Years"/>
    <x v="1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x v="1"/>
    <n v="14"/>
    <n v="10"/>
    <n v="6"/>
    <n v="11"/>
    <n v="1"/>
    <m/>
    <m/>
    <s v="11-15 Years"/>
    <s v="6-10 Years"/>
    <x v="0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x v="3"/>
    <n v="11"/>
    <n v="9"/>
    <n v="6"/>
    <n v="7"/>
    <n v="1"/>
    <m/>
    <m/>
    <s v="11-15 Years"/>
    <s v="6-10 Years"/>
    <x v="2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x v="3"/>
    <n v="13"/>
    <n v="11"/>
    <n v="2"/>
    <n v="9"/>
    <n v="1"/>
    <m/>
    <m/>
    <s v="11-15 Years"/>
    <s v="0-2 Years"/>
    <x v="0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x v="2"/>
    <n v="10"/>
    <n v="0"/>
    <n v="0"/>
    <n v="9"/>
    <n v="1"/>
    <m/>
    <m/>
    <s v="6-10 Years"/>
    <s v="0-2 Years"/>
    <x v="2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x v="1"/>
    <n v="6"/>
    <n v="2"/>
    <n v="0"/>
    <n v="4"/>
    <n v="1"/>
    <m/>
    <m/>
    <s v="6-10 Years"/>
    <s v="0-2 Years"/>
    <x v="2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x v="2"/>
    <n v="9"/>
    <n v="5"/>
    <n v="1"/>
    <n v="6"/>
    <n v="1"/>
    <m/>
    <m/>
    <s v="6-10 Years"/>
    <s v="0-2 Years"/>
    <x v="2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x v="1"/>
    <n v="10"/>
    <n v="0"/>
    <n v="0"/>
    <n v="2"/>
    <n v="1"/>
    <m/>
    <m/>
    <s v="6-10 Years"/>
    <s v="0-2 Years"/>
    <x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x v="2"/>
    <n v="2"/>
    <n v="2"/>
    <n v="2"/>
    <n v="2"/>
    <n v="1"/>
    <m/>
    <m/>
    <s v="0-2 Years"/>
    <s v="0-2 Years"/>
    <x v="1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x v="1"/>
    <n v="4"/>
    <n v="3"/>
    <n v="3"/>
    <n v="3"/>
    <n v="1"/>
    <m/>
    <m/>
    <s v="3-5 Years"/>
    <s v="3-5 Years"/>
    <x v="0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x v="1"/>
    <n v="3"/>
    <n v="2"/>
    <n v="1"/>
    <n v="2"/>
    <n v="1"/>
    <m/>
    <m/>
    <s v="3-5 Years"/>
    <s v="0-2 Years"/>
    <x v="1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x v="1"/>
    <n v="8"/>
    <n v="7"/>
    <n v="0"/>
    <n v="0"/>
    <n v="1"/>
    <m/>
    <m/>
    <s v="6-10 Years"/>
    <s v="0-2 Years"/>
    <x v="1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x v="1"/>
    <n v="2"/>
    <n v="0"/>
    <n v="0"/>
    <n v="2"/>
    <n v="1"/>
    <m/>
    <m/>
    <s v="0-2 Years"/>
    <s v="0-2 Years"/>
    <x v="0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x v="1"/>
    <n v="2"/>
    <n v="2"/>
    <n v="0"/>
    <n v="2"/>
    <n v="1"/>
    <m/>
    <m/>
    <s v="0-2 Years"/>
    <s v="0-2 Years"/>
    <x v="4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x v="1"/>
    <n v="6"/>
    <n v="5"/>
    <n v="1"/>
    <n v="2"/>
    <n v="1"/>
    <m/>
    <m/>
    <s v="6-10 Years"/>
    <s v="0-2 Years"/>
    <x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x v="2"/>
    <n v="3"/>
    <n v="2"/>
    <n v="0"/>
    <n v="2"/>
    <n v="1"/>
    <m/>
    <m/>
    <s v="3-5 Years"/>
    <s v="0-2 Years"/>
    <x v="0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x v="1"/>
    <n v="2"/>
    <n v="2"/>
    <n v="2"/>
    <n v="2"/>
    <n v="1"/>
    <m/>
    <m/>
    <s v="0-2 Years"/>
    <s v="0-2 Years"/>
    <x v="0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x v="1"/>
    <n v="5"/>
    <n v="4"/>
    <n v="1"/>
    <n v="2"/>
    <n v="1"/>
    <m/>
    <m/>
    <s v="3-5 Years"/>
    <s v="0-2 Years"/>
    <x v="4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x v="2"/>
    <n v="0"/>
    <n v="0"/>
    <n v="0"/>
    <n v="0"/>
    <n v="1"/>
    <m/>
    <m/>
    <s v="0-2 Years"/>
    <s v="0-2 Years"/>
    <x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x v="1"/>
    <n v="4"/>
    <n v="3"/>
    <n v="1"/>
    <n v="2"/>
    <n v="1"/>
    <m/>
    <m/>
    <s v="3-5 Years"/>
    <s v="0-2 Years"/>
    <x v="1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x v="1"/>
    <n v="9"/>
    <n v="7"/>
    <n v="7"/>
    <n v="7"/>
    <n v="1"/>
    <m/>
    <m/>
    <s v="6-10 Years"/>
    <s v="6-10 Years"/>
    <x v="1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x v="1"/>
    <n v="1"/>
    <n v="0"/>
    <n v="0"/>
    <n v="0"/>
    <n v="1"/>
    <m/>
    <m/>
    <s v="0-2 Years"/>
    <s v="0-2 Years"/>
    <x v="2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x v="1"/>
    <n v="7"/>
    <n v="7"/>
    <n v="5"/>
    <n v="7"/>
    <n v="1"/>
    <m/>
    <m/>
    <s v="6-10 Years"/>
    <s v="3-5 Years"/>
    <x v="2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x v="1"/>
    <n v="4"/>
    <n v="2"/>
    <n v="1"/>
    <n v="2"/>
    <n v="1"/>
    <m/>
    <m/>
    <s v="3-5 Years"/>
    <s v="0-2 Years"/>
    <x v="1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x v="3"/>
    <n v="15"/>
    <n v="10"/>
    <n v="4"/>
    <n v="13"/>
    <n v="1"/>
    <m/>
    <m/>
    <s v="11-15 Years"/>
    <s v="3-5 Years"/>
    <x v="2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x v="3"/>
    <n v="1"/>
    <n v="0"/>
    <n v="0"/>
    <n v="0"/>
    <n v="1"/>
    <m/>
    <m/>
    <s v="0-2 Years"/>
    <s v="0-2 Years"/>
    <x v="3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x v="1"/>
    <n v="14"/>
    <n v="11"/>
    <n v="2"/>
    <n v="13"/>
    <n v="1"/>
    <m/>
    <m/>
    <s v="11-15 Years"/>
    <s v="0-2 Years"/>
    <x v="2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x v="2"/>
    <n v="6"/>
    <n v="3"/>
    <n v="1"/>
    <n v="3"/>
    <n v="1"/>
    <m/>
    <m/>
    <s v="6-10 Years"/>
    <s v="0-2 Years"/>
    <x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x v="1"/>
    <n v="10"/>
    <n v="9"/>
    <n v="8"/>
    <n v="7"/>
    <n v="1"/>
    <m/>
    <m/>
    <s v="6-10 Years"/>
    <s v="6-10 Years"/>
    <x v="2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x v="1"/>
    <n v="3"/>
    <n v="2"/>
    <n v="0"/>
    <n v="2"/>
    <n v="1"/>
    <m/>
    <m/>
    <s v="3-5 Years"/>
    <s v="0-2 Years"/>
    <x v="4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x v="1"/>
    <n v="8"/>
    <n v="7"/>
    <n v="6"/>
    <n v="7"/>
    <n v="1"/>
    <m/>
    <m/>
    <s v="6-10 Years"/>
    <s v="6-10 Years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x v="3"/>
    <n v="5"/>
    <n v="4"/>
    <n v="1"/>
    <n v="4"/>
    <n v="1"/>
    <m/>
    <m/>
    <s v="3-5 Years"/>
    <s v="0-2 Years"/>
    <x v="2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x v="1"/>
    <n v="10"/>
    <n v="9"/>
    <n v="8"/>
    <n v="8"/>
    <n v="1"/>
    <m/>
    <m/>
    <s v="6-10 Years"/>
    <s v="6-10 Years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x v="1"/>
    <n v="5"/>
    <n v="3"/>
    <n v="0"/>
    <n v="4"/>
    <n v="1"/>
    <m/>
    <m/>
    <s v="3-5 Years"/>
    <s v="0-2 Years"/>
    <x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x v="1"/>
    <n v="10"/>
    <n v="8"/>
    <n v="8"/>
    <n v="7"/>
    <n v="1"/>
    <m/>
    <m/>
    <s v="6-10 Years"/>
    <s v="6-10 Years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x v="1"/>
    <n v="5"/>
    <n v="3"/>
    <n v="1"/>
    <n v="2"/>
    <n v="1"/>
    <m/>
    <m/>
    <s v="3-5 Years"/>
    <s v="0-2 Years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x v="2"/>
    <n v="13"/>
    <n v="7"/>
    <n v="6"/>
    <n v="7"/>
    <n v="1"/>
    <m/>
    <m/>
    <s v="11-15 Years"/>
    <s v="6-10 Years"/>
    <x v="0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x v="2"/>
    <n v="23"/>
    <n v="15"/>
    <n v="14"/>
    <n v="4"/>
    <n v="1"/>
    <m/>
    <m/>
    <s v="21+ Years"/>
    <s v="11-15 Years"/>
    <x v="0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x v="1"/>
    <n v="1"/>
    <n v="0"/>
    <n v="0"/>
    <n v="0"/>
    <n v="1"/>
    <m/>
    <m/>
    <s v="0-2 Years"/>
    <s v="0-2 Years"/>
    <x v="4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x v="0"/>
    <n v="23"/>
    <n v="5"/>
    <n v="14"/>
    <n v="10"/>
    <n v="1"/>
    <m/>
    <m/>
    <s v="21+ Years"/>
    <s v="11-15 Years"/>
    <x v="1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x v="3"/>
    <n v="3"/>
    <n v="2"/>
    <n v="0"/>
    <n v="2"/>
    <n v="1"/>
    <m/>
    <m/>
    <s v="3-5 Years"/>
    <s v="0-2 Years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x v="1"/>
    <n v="21"/>
    <n v="6"/>
    <n v="8"/>
    <n v="6"/>
    <n v="1"/>
    <m/>
    <m/>
    <s v="21+ Years"/>
    <s v="6-10 Years"/>
    <x v="0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x v="2"/>
    <n v="5"/>
    <n v="2"/>
    <n v="1"/>
    <n v="3"/>
    <n v="1"/>
    <m/>
    <m/>
    <s v="3-5 Years"/>
    <s v="0-2 Years"/>
    <x v="2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x v="3"/>
    <n v="5"/>
    <n v="2"/>
    <n v="0"/>
    <n v="3"/>
    <n v="1"/>
    <m/>
    <m/>
    <s v="3-5 Years"/>
    <s v="0-2 Years"/>
    <x v="2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x v="1"/>
    <n v="3"/>
    <n v="2"/>
    <n v="1"/>
    <n v="2"/>
    <n v="1"/>
    <m/>
    <m/>
    <s v="3-5 Years"/>
    <s v="0-2 Years"/>
    <x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x v="1"/>
    <n v="1"/>
    <n v="0"/>
    <n v="0"/>
    <n v="0"/>
    <n v="1"/>
    <m/>
    <m/>
    <s v="0-2 Years"/>
    <s v="0-2 Years"/>
    <x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x v="3"/>
    <n v="6"/>
    <n v="2"/>
    <n v="1"/>
    <n v="2"/>
    <n v="1"/>
    <m/>
    <m/>
    <s v="6-10 Years"/>
    <s v="0-2 Years"/>
    <x v="4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x v="1"/>
    <n v="10"/>
    <n v="7"/>
    <n v="0"/>
    <n v="9"/>
    <n v="1"/>
    <m/>
    <m/>
    <s v="6-10 Years"/>
    <s v="0-2 Years"/>
    <x v="1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x v="1"/>
    <n v="7"/>
    <n v="7"/>
    <n v="0"/>
    <n v="7"/>
    <n v="1"/>
    <m/>
    <m/>
    <s v="6-10 Years"/>
    <s v="0-2 Years"/>
    <x v="2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x v="2"/>
    <n v="10"/>
    <n v="0"/>
    <n v="0"/>
    <n v="8"/>
    <n v="1"/>
    <m/>
    <m/>
    <s v="6-10 Years"/>
    <s v="0-2 Years"/>
    <x v="2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x v="0"/>
    <n v="1"/>
    <n v="0"/>
    <n v="0"/>
    <n v="0"/>
    <n v="1"/>
    <m/>
    <m/>
    <s v="0-2 Years"/>
    <s v="0-2 Years"/>
    <x v="1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x v="2"/>
    <n v="10"/>
    <n v="6"/>
    <n v="0"/>
    <n v="3"/>
    <n v="1"/>
    <m/>
    <m/>
    <s v="6-10 Years"/>
    <s v="0-2 Years"/>
    <x v="1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x v="1"/>
    <n v="2"/>
    <n v="2"/>
    <n v="2"/>
    <n v="2"/>
    <n v="1"/>
    <m/>
    <m/>
    <s v="0-2 Years"/>
    <s v="0-2 Years"/>
    <x v="0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x v="1"/>
    <n v="0"/>
    <n v="0"/>
    <n v="0"/>
    <n v="0"/>
    <n v="1"/>
    <m/>
    <m/>
    <s v="0-2 Years"/>
    <s v="0-2 Years"/>
    <x v="2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x v="0"/>
    <n v="3"/>
    <n v="2"/>
    <n v="1"/>
    <n v="2"/>
    <n v="1"/>
    <m/>
    <m/>
    <s v="3-5 Years"/>
    <s v="0-2 Years"/>
    <x v="4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x v="2"/>
    <n v="5"/>
    <n v="4"/>
    <n v="1"/>
    <n v="4"/>
    <n v="1"/>
    <m/>
    <m/>
    <s v="3-5 Years"/>
    <s v="0-2 Years"/>
    <x v="2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x v="1"/>
    <n v="9"/>
    <n v="8"/>
    <n v="5"/>
    <n v="8"/>
    <n v="1"/>
    <m/>
    <m/>
    <s v="6-10 Years"/>
    <s v="3-5 Years"/>
    <x v="0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x v="0"/>
    <n v="4"/>
    <n v="3"/>
    <n v="0"/>
    <n v="2"/>
    <n v="1"/>
    <m/>
    <m/>
    <s v="3-5 Years"/>
    <s v="0-2 Years"/>
    <x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x v="2"/>
    <n v="21"/>
    <n v="8"/>
    <n v="12"/>
    <n v="8"/>
    <n v="1"/>
    <m/>
    <m/>
    <s v="21+ Years"/>
    <s v="11-15 Years"/>
    <x v="0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x v="3"/>
    <n v="5"/>
    <n v="0"/>
    <n v="0"/>
    <n v="3"/>
    <n v="1"/>
    <m/>
    <m/>
    <s v="3-5 Years"/>
    <s v="0-2 Years"/>
    <x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x v="1"/>
    <n v="9"/>
    <n v="7"/>
    <n v="0"/>
    <n v="7"/>
    <n v="1"/>
    <m/>
    <m/>
    <s v="6-10 Years"/>
    <s v="0-2 Years"/>
    <x v="2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x v="1"/>
    <n v="2"/>
    <n v="2"/>
    <n v="2"/>
    <n v="1"/>
    <n v="1"/>
    <m/>
    <m/>
    <s v="0-2 Years"/>
    <s v="0-2 Years"/>
    <x v="4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x v="2"/>
    <n v="4"/>
    <n v="2"/>
    <n v="1"/>
    <n v="2"/>
    <n v="1"/>
    <m/>
    <m/>
    <s v="3-5 Years"/>
    <s v="0-2 Years"/>
    <x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x v="1"/>
    <n v="5"/>
    <n v="2"/>
    <n v="0"/>
    <n v="2"/>
    <n v="1"/>
    <m/>
    <m/>
    <s v="3-5 Years"/>
    <s v="0-2 Years"/>
    <x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x v="2"/>
    <n v="6"/>
    <n v="2"/>
    <n v="1"/>
    <n v="4"/>
    <n v="1"/>
    <m/>
    <m/>
    <s v="6-10 Years"/>
    <s v="0-2 Years"/>
    <x v="2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x v="1"/>
    <n v="2"/>
    <n v="2"/>
    <n v="2"/>
    <n v="2"/>
    <n v="1"/>
    <m/>
    <m/>
    <s v="0-2 Years"/>
    <s v="0-2 Years"/>
    <x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x v="3"/>
    <n v="3"/>
    <n v="2"/>
    <n v="0"/>
    <n v="2"/>
    <n v="1"/>
    <m/>
    <m/>
    <s v="3-5 Years"/>
    <s v="0-2 Years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x v="1"/>
    <n v="7"/>
    <n v="7"/>
    <n v="1"/>
    <n v="7"/>
    <n v="1"/>
    <m/>
    <m/>
    <s v="6-10 Years"/>
    <s v="0-2 Years"/>
    <x v="2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x v="1"/>
    <n v="5"/>
    <n v="0"/>
    <n v="1"/>
    <n v="2"/>
    <n v="1"/>
    <m/>
    <m/>
    <s v="3-5 Years"/>
    <s v="0-2 Years"/>
    <x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x v="2"/>
    <n v="11"/>
    <n v="7"/>
    <n v="1"/>
    <n v="7"/>
    <n v="1"/>
    <m/>
    <m/>
    <s v="11-15 Years"/>
    <s v="0-2 Years"/>
    <x v="2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x v="3"/>
    <n v="5"/>
    <n v="1"/>
    <n v="0"/>
    <n v="4"/>
    <n v="1"/>
    <m/>
    <m/>
    <s v="3-5 Years"/>
    <s v="0-2 Years"/>
    <x v="1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x v="2"/>
    <n v="0"/>
    <n v="0"/>
    <n v="0"/>
    <n v="0"/>
    <n v="1"/>
    <m/>
    <m/>
    <s v="0-2 Years"/>
    <s v="0-2 Years"/>
    <x v="2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x v="2"/>
    <n v="6"/>
    <n v="1"/>
    <n v="0"/>
    <n v="5"/>
    <n v="1"/>
    <m/>
    <m/>
    <s v="6-10 Years"/>
    <s v="0-2 Years"/>
    <x v="0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x v="1"/>
    <n v="1"/>
    <n v="0"/>
    <n v="0"/>
    <n v="0"/>
    <n v="1"/>
    <m/>
    <m/>
    <s v="0-2 Years"/>
    <s v="0-2 Years"/>
    <x v="2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x v="1"/>
    <n v="1"/>
    <n v="0"/>
    <n v="0"/>
    <n v="0"/>
    <n v="1"/>
    <m/>
    <m/>
    <s v="0-2 Years"/>
    <s v="0-2 Years"/>
    <x v="2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x v="1"/>
    <n v="7"/>
    <n v="0"/>
    <n v="1"/>
    <n v="7"/>
    <n v="1"/>
    <m/>
    <m/>
    <s v="6-10 Years"/>
    <s v="0-2 Years"/>
    <x v="2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x v="1"/>
    <n v="7"/>
    <n v="7"/>
    <n v="0"/>
    <n v="7"/>
    <n v="1"/>
    <m/>
    <m/>
    <s v="6-10 Years"/>
    <s v="0-2 Years"/>
    <x v="2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x v="1"/>
    <n v="1"/>
    <n v="0"/>
    <n v="1"/>
    <n v="0"/>
    <n v="1"/>
    <m/>
    <m/>
    <s v="0-2 Years"/>
    <s v="0-2 Years"/>
    <x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x v="1"/>
    <n v="1"/>
    <n v="0"/>
    <n v="0"/>
    <n v="0"/>
    <n v="1"/>
    <m/>
    <m/>
    <s v="0-2 Years"/>
    <s v="0-2 Years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x v="2"/>
    <n v="5"/>
    <n v="3"/>
    <n v="0"/>
    <n v="4"/>
    <n v="1"/>
    <m/>
    <m/>
    <s v="3-5 Years"/>
    <s v="0-2 Years"/>
    <x v="0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x v="1"/>
    <n v="1"/>
    <n v="0"/>
    <n v="0"/>
    <n v="0"/>
    <n v="1"/>
    <m/>
    <m/>
    <s v="0-2 Years"/>
    <s v="0-2 Years"/>
    <x v="1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x v="2"/>
    <n v="9"/>
    <n v="8"/>
    <n v="1"/>
    <n v="7"/>
    <n v="1"/>
    <m/>
    <m/>
    <s v="6-10 Years"/>
    <s v="0-2 Years"/>
    <x v="2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x v="1"/>
    <n v="5"/>
    <n v="3"/>
    <n v="0"/>
    <n v="4"/>
    <n v="1"/>
    <m/>
    <m/>
    <s v="3-5 Years"/>
    <s v="0-2 Years"/>
    <x v="0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x v="1"/>
    <n v="15"/>
    <n v="14"/>
    <n v="0"/>
    <n v="7"/>
    <n v="1"/>
    <m/>
    <m/>
    <s v="11-15 Years"/>
    <s v="0-2 Years"/>
    <x v="2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x v="2"/>
    <n v="3"/>
    <n v="2"/>
    <n v="0"/>
    <n v="2"/>
    <n v="1"/>
    <m/>
    <m/>
    <s v="3-5 Years"/>
    <s v="0-2 Years"/>
    <x v="1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x v="1"/>
    <n v="9"/>
    <n v="7"/>
    <n v="1"/>
    <n v="8"/>
    <n v="1"/>
    <m/>
    <m/>
    <s v="6-10 Years"/>
    <s v="0-2 Years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x v="1"/>
    <n v="2"/>
    <n v="2"/>
    <n v="2"/>
    <n v="2"/>
    <n v="1"/>
    <m/>
    <m/>
    <s v="0-2 Years"/>
    <s v="0-2 Years"/>
    <x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x v="1"/>
    <n v="1"/>
    <n v="0"/>
    <n v="1"/>
    <n v="0"/>
    <n v="1"/>
    <m/>
    <m/>
    <s v="0-2 Years"/>
    <s v="0-2 Years"/>
    <x v="4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x v="1"/>
    <n v="5"/>
    <n v="4"/>
    <n v="0"/>
    <n v="4"/>
    <n v="1"/>
    <m/>
    <m/>
    <s v="3-5 Years"/>
    <s v="0-2 Years"/>
    <x v="0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x v="1"/>
    <n v="1"/>
    <n v="0"/>
    <n v="0"/>
    <n v="0"/>
    <n v="1"/>
    <m/>
    <m/>
    <s v="0-2 Years"/>
    <s v="0-2 Years"/>
    <x v="4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x v="1"/>
    <n v="12"/>
    <n v="7"/>
    <n v="5"/>
    <n v="7"/>
    <n v="1"/>
    <m/>
    <m/>
    <s v="11-15 Years"/>
    <s v="3-5 Years"/>
    <x v="2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x v="1"/>
    <n v="2"/>
    <n v="2"/>
    <n v="2"/>
    <n v="2"/>
    <n v="1"/>
    <m/>
    <m/>
    <s v="0-2 Years"/>
    <s v="0-2 Years"/>
    <x v="1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x v="1"/>
    <n v="5"/>
    <n v="2"/>
    <n v="0"/>
    <n v="3"/>
    <n v="1"/>
    <m/>
    <m/>
    <s v="3-5 Years"/>
    <s v="0-2 Years"/>
    <x v="0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x v="1"/>
    <n v="2"/>
    <n v="1"/>
    <n v="2"/>
    <n v="2"/>
    <n v="1"/>
    <m/>
    <m/>
    <s v="0-2 Years"/>
    <s v="0-2 Years"/>
    <x v="1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x v="1"/>
    <n v="12"/>
    <n v="8"/>
    <n v="5"/>
    <n v="7"/>
    <n v="1"/>
    <m/>
    <m/>
    <s v="11-15 Years"/>
    <s v="3-5 Years"/>
    <x v="0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x v="2"/>
    <n v="5"/>
    <n v="3"/>
    <n v="2"/>
    <n v="3"/>
    <n v="1"/>
    <m/>
    <m/>
    <s v="3-5 Years"/>
    <s v="0-2 Years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x v="2"/>
    <n v="10"/>
    <n v="0"/>
    <n v="4"/>
    <n v="7"/>
    <n v="1"/>
    <m/>
    <m/>
    <s v="6-10 Years"/>
    <s v="3-5 Years"/>
    <x v="0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x v="1"/>
    <n v="10"/>
    <n v="7"/>
    <n v="7"/>
    <n v="7"/>
    <n v="1"/>
    <m/>
    <m/>
    <s v="6-10 Years"/>
    <s v="6-10 Years"/>
    <x v="2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x v="1"/>
    <n v="10"/>
    <n v="8"/>
    <n v="7"/>
    <n v="6"/>
    <n v="1"/>
    <m/>
    <m/>
    <s v="6-10 Years"/>
    <s v="6-10 Years"/>
    <x v="2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x v="3"/>
    <n v="5"/>
    <n v="3"/>
    <n v="0"/>
    <n v="3"/>
    <n v="1"/>
    <m/>
    <m/>
    <s v="3-5 Years"/>
    <s v="0-2 Years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x v="1"/>
    <n v="4"/>
    <n v="3"/>
    <n v="2"/>
    <n v="2"/>
    <n v="1"/>
    <m/>
    <m/>
    <s v="3-5 Years"/>
    <s v="0-2 Years"/>
    <x v="0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x v="1"/>
    <n v="2"/>
    <n v="2"/>
    <n v="2"/>
    <n v="2"/>
    <n v="1"/>
    <m/>
    <m/>
    <s v="0-2 Years"/>
    <s v="0-2 Years"/>
    <x v="1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x v="2"/>
    <n v="4"/>
    <n v="3"/>
    <n v="0"/>
    <n v="2"/>
    <n v="1"/>
    <m/>
    <m/>
    <s v="3-5 Years"/>
    <s v="0-2 Years"/>
    <x v="0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x v="2"/>
    <n v="0"/>
    <n v="0"/>
    <n v="0"/>
    <n v="0"/>
    <n v="1"/>
    <m/>
    <m/>
    <s v="0-2 Years"/>
    <s v="0-2 Years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x v="1"/>
    <n v="7"/>
    <n v="7"/>
    <n v="1"/>
    <n v="7"/>
    <n v="1"/>
    <m/>
    <m/>
    <s v="6-10 Years"/>
    <s v="0-2 Years"/>
    <x v="2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x v="1"/>
    <n v="11"/>
    <n v="10"/>
    <n v="3"/>
    <n v="8"/>
    <n v="1"/>
    <m/>
    <m/>
    <s v="11-15 Years"/>
    <s v="3-5 Years"/>
    <x v="0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x v="2"/>
    <n v="7"/>
    <n v="1"/>
    <n v="0"/>
    <n v="7"/>
    <n v="1"/>
    <m/>
    <m/>
    <s v="6-10 Years"/>
    <s v="0-2 Years"/>
    <x v="2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x v="0"/>
    <n v="10"/>
    <n v="3"/>
    <n v="0"/>
    <n v="8"/>
    <n v="1"/>
    <m/>
    <m/>
    <s v="6-10 Years"/>
    <s v="0-2 Years"/>
    <x v="0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x v="1"/>
    <n v="2"/>
    <n v="1"/>
    <n v="2"/>
    <n v="2"/>
    <n v="1"/>
    <m/>
    <m/>
    <s v="0-2 Years"/>
    <s v="0-2 Years"/>
    <x v="0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x v="2"/>
    <n v="3"/>
    <n v="2"/>
    <n v="1"/>
    <n v="2"/>
    <n v="1"/>
    <m/>
    <m/>
    <s v="3-5 Years"/>
    <s v="0-2 Years"/>
    <x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x v="0"/>
    <n v="3"/>
    <n v="2"/>
    <n v="1"/>
    <n v="2"/>
    <n v="1"/>
    <m/>
    <m/>
    <s v="3-5 Years"/>
    <s v="0-2 Years"/>
    <x v="0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x v="3"/>
    <n v="22"/>
    <n v="14"/>
    <n v="13"/>
    <n v="5"/>
    <n v="1"/>
    <m/>
    <m/>
    <s v="21+ Years"/>
    <s v="11-15 Years"/>
    <x v="0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x v="1"/>
    <n v="7"/>
    <n v="7"/>
    <n v="0"/>
    <n v="2"/>
    <n v="1"/>
    <m/>
    <m/>
    <s v="6-10 Years"/>
    <s v="0-2 Years"/>
    <x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x v="1"/>
    <n v="5"/>
    <n v="1"/>
    <n v="1"/>
    <n v="4"/>
    <n v="1"/>
    <m/>
    <m/>
    <s v="3-5 Years"/>
    <s v="0-2 Years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x v="3"/>
    <n v="9"/>
    <n v="7"/>
    <n v="3"/>
    <n v="7"/>
    <n v="1"/>
    <m/>
    <m/>
    <s v="6-10 Years"/>
    <s v="3-5 Years"/>
    <x v="1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x v="1"/>
    <n v="5"/>
    <n v="3"/>
    <n v="0"/>
    <n v="3"/>
    <n v="1"/>
    <m/>
    <m/>
    <s v="3-5 Years"/>
    <s v="0-2 Years"/>
    <x v="0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x v="1"/>
    <n v="10"/>
    <n v="8"/>
    <n v="4"/>
    <n v="8"/>
    <n v="1"/>
    <m/>
    <m/>
    <s v="6-10 Years"/>
    <s v="3-5 Years"/>
    <x v="2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x v="2"/>
    <n v="16"/>
    <n v="9"/>
    <n v="14"/>
    <n v="14"/>
    <n v="1"/>
    <m/>
    <m/>
    <s v="16-20 Years"/>
    <s v="11-15 Years"/>
    <x v="3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x v="3"/>
    <n v="5"/>
    <n v="4"/>
    <n v="0"/>
    <n v="3"/>
    <n v="1"/>
    <m/>
    <m/>
    <s v="3-5 Years"/>
    <s v="0-2 Years"/>
    <x v="2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x v="1"/>
    <n v="22"/>
    <n v="11"/>
    <n v="14"/>
    <n v="10"/>
    <n v="1"/>
    <m/>
    <m/>
    <s v="21+ Years"/>
    <s v="11-15 Years"/>
    <x v="1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x v="1"/>
    <n v="7"/>
    <n v="4"/>
    <n v="7"/>
    <n v="7"/>
    <n v="1"/>
    <m/>
    <m/>
    <s v="6-10 Years"/>
    <s v="6-10 Years"/>
    <x v="0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x v="2"/>
    <n v="7"/>
    <n v="1"/>
    <n v="1"/>
    <n v="7"/>
    <n v="1"/>
    <m/>
    <m/>
    <s v="6-10 Years"/>
    <s v="0-2 Years"/>
    <x v="1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x v="1"/>
    <n v="3"/>
    <n v="2"/>
    <n v="2"/>
    <n v="2"/>
    <n v="1"/>
    <m/>
    <m/>
    <s v="3-5 Years"/>
    <s v="0-2 Years"/>
    <x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x v="1"/>
    <n v="3"/>
    <n v="2"/>
    <n v="1"/>
    <n v="2"/>
    <n v="1"/>
    <m/>
    <m/>
    <s v="3-5 Years"/>
    <s v="0-2 Years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x v="2"/>
    <n v="4"/>
    <n v="2"/>
    <n v="0"/>
    <n v="3"/>
    <n v="1"/>
    <m/>
    <m/>
    <s v="3-5 Years"/>
    <s v="0-2 Years"/>
    <x v="0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x v="1"/>
    <n v="5"/>
    <n v="3"/>
    <n v="1"/>
    <n v="2"/>
    <n v="1"/>
    <m/>
    <m/>
    <s v="3-5 Years"/>
    <s v="0-2 Years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x v="1"/>
    <n v="2"/>
    <n v="2"/>
    <n v="2"/>
    <n v="2"/>
    <n v="1"/>
    <m/>
    <m/>
    <s v="0-2 Years"/>
    <s v="0-2 Years"/>
    <x v="3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x v="0"/>
    <n v="0"/>
    <n v="0"/>
    <n v="0"/>
    <n v="0"/>
    <n v="1"/>
    <m/>
    <m/>
    <s v="0-2 Years"/>
    <s v="0-2 Years"/>
    <x v="4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x v="1"/>
    <n v="1"/>
    <n v="0"/>
    <n v="0"/>
    <n v="0"/>
    <n v="1"/>
    <m/>
    <m/>
    <s v="0-2 Years"/>
    <s v="0-2 Years"/>
    <x v="2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x v="1"/>
    <n v="2"/>
    <n v="2"/>
    <n v="2"/>
    <n v="0"/>
    <n v="1"/>
    <m/>
    <m/>
    <s v="0-2 Years"/>
    <s v="0-2 Years"/>
    <x v="2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x v="3"/>
    <n v="8"/>
    <n v="7"/>
    <n v="5"/>
    <n v="7"/>
    <n v="1"/>
    <m/>
    <m/>
    <s v="6-10 Years"/>
    <s v="3-5 Years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x v="1"/>
    <n v="1"/>
    <n v="0"/>
    <n v="0"/>
    <n v="0"/>
    <n v="1"/>
    <m/>
    <m/>
    <s v="0-2 Years"/>
    <s v="0-2 Years"/>
    <x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x v="1"/>
    <n v="7"/>
    <n v="7"/>
    <n v="7"/>
    <n v="7"/>
    <n v="1"/>
    <m/>
    <m/>
    <s v="6-10 Years"/>
    <s v="6-10 Years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x v="2"/>
    <n v="5"/>
    <n v="4"/>
    <n v="0"/>
    <n v="2"/>
    <n v="1"/>
    <m/>
    <m/>
    <s v="3-5 Years"/>
    <s v="0-2 Years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x v="3"/>
    <n v="11"/>
    <n v="8"/>
    <n v="3"/>
    <n v="10"/>
    <n v="1"/>
    <m/>
    <m/>
    <s v="11-15 Years"/>
    <s v="3-5 Years"/>
    <x v="2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x v="3"/>
    <n v="0"/>
    <n v="0"/>
    <n v="0"/>
    <n v="0"/>
    <n v="1"/>
    <m/>
    <m/>
    <s v="0-2 Years"/>
    <s v="0-2 Years"/>
    <x v="2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x v="2"/>
    <n v="6"/>
    <n v="3"/>
    <n v="3"/>
    <n v="3"/>
    <n v="1"/>
    <m/>
    <m/>
    <s v="6-10 Years"/>
    <s v="3-5 Years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x v="1"/>
    <n v="2"/>
    <n v="2"/>
    <n v="2"/>
    <n v="0"/>
    <n v="1"/>
    <m/>
    <m/>
    <s v="0-2 Years"/>
    <s v="0-2 Years"/>
    <x v="1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x v="2"/>
    <n v="9"/>
    <n v="8"/>
    <n v="4"/>
    <n v="7"/>
    <n v="1"/>
    <m/>
    <m/>
    <s v="6-10 Years"/>
    <s v="3-5 Years"/>
    <x v="1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x v="1"/>
    <n v="3"/>
    <n v="2"/>
    <n v="2"/>
    <n v="2"/>
    <n v="1"/>
    <m/>
    <m/>
    <s v="3-5 Years"/>
    <s v="0-2 Years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x v="1"/>
    <n v="7"/>
    <n v="0"/>
    <n v="1"/>
    <n v="6"/>
    <n v="1"/>
    <m/>
    <m/>
    <s v="6-10 Years"/>
    <s v="0-2 Years"/>
    <x v="2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x v="1"/>
    <n v="0"/>
    <n v="0"/>
    <n v="0"/>
    <n v="0"/>
    <n v="1"/>
    <m/>
    <m/>
    <s v="0-2 Years"/>
    <s v="0-2 Years"/>
    <x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x v="2"/>
    <n v="2"/>
    <n v="2"/>
    <n v="2"/>
    <n v="2"/>
    <n v="1"/>
    <m/>
    <m/>
    <s v="0-2 Years"/>
    <s v="0-2 Years"/>
    <x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x v="1"/>
    <n v="19"/>
    <n v="17"/>
    <n v="2"/>
    <n v="8"/>
    <n v="1"/>
    <m/>
    <m/>
    <s v="16-20 Years"/>
    <s v="0-2 Years"/>
    <x v="1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x v="1"/>
    <n v="9"/>
    <n v="8"/>
    <n v="5"/>
    <n v="8"/>
    <n v="1"/>
    <m/>
    <m/>
    <s v="6-10 Years"/>
    <s v="3-5 Years"/>
    <x v="2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x v="1"/>
    <n v="1"/>
    <n v="0"/>
    <n v="0"/>
    <n v="0"/>
    <n v="1"/>
    <m/>
    <m/>
    <s v="0-2 Years"/>
    <s v="0-2 Years"/>
    <x v="2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x v="1"/>
    <n v="16"/>
    <n v="12"/>
    <n v="6"/>
    <n v="14"/>
    <n v="1"/>
    <m/>
    <m/>
    <s v="16-20 Years"/>
    <s v="6-10 Years"/>
    <x v="0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x v="1"/>
    <n v="22"/>
    <n v="10"/>
    <n v="12"/>
    <n v="9"/>
    <n v="1"/>
    <m/>
    <m/>
    <s v="21+ Years"/>
    <s v="11-15 Years"/>
    <x v="1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x v="2"/>
    <n v="1"/>
    <n v="0"/>
    <n v="1"/>
    <n v="0"/>
    <n v="1"/>
    <m/>
    <m/>
    <s v="0-2 Years"/>
    <s v="0-2 Years"/>
    <x v="2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x v="1"/>
    <n v="8"/>
    <n v="7"/>
    <n v="0"/>
    <n v="7"/>
    <n v="1"/>
    <m/>
    <m/>
    <s v="6-10 Years"/>
    <s v="0-2 Years"/>
    <x v="1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x v="2"/>
    <n v="7"/>
    <n v="6"/>
    <n v="7"/>
    <n v="3"/>
    <n v="1"/>
    <m/>
    <m/>
    <s v="6-10 Years"/>
    <s v="6-10 Years"/>
    <x v="2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x v="1"/>
    <n v="2"/>
    <n v="2"/>
    <n v="2"/>
    <n v="2"/>
    <n v="1"/>
    <m/>
    <m/>
    <s v="0-2 Years"/>
    <s v="0-2 Years"/>
    <x v="0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x v="3"/>
    <n v="5"/>
    <n v="2"/>
    <n v="0"/>
    <n v="4"/>
    <n v="1"/>
    <m/>
    <m/>
    <s v="3-5 Years"/>
    <s v="0-2 Years"/>
    <x v="1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x v="1"/>
    <n v="1"/>
    <n v="0"/>
    <n v="0"/>
    <n v="0"/>
    <n v="1"/>
    <m/>
    <m/>
    <s v="0-2 Years"/>
    <s v="0-2 Years"/>
    <x v="2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x v="2"/>
    <n v="1"/>
    <n v="0"/>
    <n v="0"/>
    <n v="0"/>
    <n v="1"/>
    <m/>
    <m/>
    <s v="0-2 Years"/>
    <s v="0-2 Years"/>
    <x v="2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x v="1"/>
    <n v="1"/>
    <n v="0"/>
    <n v="0"/>
    <n v="0"/>
    <n v="1"/>
    <m/>
    <m/>
    <s v="0-2 Years"/>
    <s v="0-2 Years"/>
    <x v="4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x v="1"/>
    <n v="10"/>
    <n v="9"/>
    <n v="1"/>
    <n v="7"/>
    <n v="1"/>
    <m/>
    <m/>
    <s v="6-10 Years"/>
    <s v="0-2 Years"/>
    <x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x v="1"/>
    <n v="10"/>
    <n v="8"/>
    <n v="0"/>
    <n v="2"/>
    <n v="1"/>
    <m/>
    <m/>
    <s v="6-10 Years"/>
    <s v="0-2 Years"/>
    <x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x v="1"/>
    <n v="5"/>
    <n v="3"/>
    <n v="1"/>
    <n v="0"/>
    <n v="1"/>
    <m/>
    <m/>
    <s v="3-5 Years"/>
    <s v="0-2 Years"/>
    <x v="2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x v="1"/>
    <n v="3"/>
    <n v="2"/>
    <n v="1"/>
    <n v="2"/>
    <n v="1"/>
    <m/>
    <m/>
    <s v="3-5 Years"/>
    <s v="0-2 Years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x v="1"/>
    <n v="5"/>
    <n v="3"/>
    <n v="0"/>
    <n v="4"/>
    <n v="1"/>
    <m/>
    <m/>
    <s v="3-5 Years"/>
    <s v="0-2 Years"/>
    <x v="0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x v="1"/>
    <n v="3"/>
    <n v="2"/>
    <n v="0"/>
    <n v="2"/>
    <n v="1"/>
    <m/>
    <m/>
    <s v="3-5 Years"/>
    <s v="0-2 Years"/>
    <x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x v="2"/>
    <n v="9"/>
    <n v="8"/>
    <n v="3"/>
    <n v="8"/>
    <n v="1"/>
    <m/>
    <m/>
    <s v="6-10 Years"/>
    <s v="3-5 Years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x v="2"/>
    <n v="10"/>
    <n v="1"/>
    <n v="0"/>
    <n v="8"/>
    <n v="1"/>
    <m/>
    <m/>
    <s v="6-10 Years"/>
    <s v="0-2 Years"/>
    <x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x v="1"/>
    <n v="19"/>
    <n v="7"/>
    <n v="11"/>
    <n v="16"/>
    <n v="1"/>
    <m/>
    <m/>
    <s v="16-20 Years"/>
    <s v="11-15 Years"/>
    <x v="0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x v="2"/>
    <n v="1"/>
    <n v="0"/>
    <n v="1"/>
    <n v="0"/>
    <n v="1"/>
    <m/>
    <m/>
    <s v="0-2 Years"/>
    <s v="0-2 Years"/>
    <x v="2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x v="2"/>
    <n v="8"/>
    <n v="7"/>
    <n v="0"/>
    <n v="7"/>
    <n v="1"/>
    <m/>
    <m/>
    <s v="6-10 Years"/>
    <s v="0-2 Years"/>
    <x v="2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x v="1"/>
    <n v="22"/>
    <n v="17"/>
    <n v="4"/>
    <n v="7"/>
    <n v="1"/>
    <m/>
    <m/>
    <s v="21+ Years"/>
    <s v="3-5 Years"/>
    <x v="1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x v="1"/>
    <n v="2"/>
    <n v="0"/>
    <n v="2"/>
    <n v="2"/>
    <n v="1"/>
    <m/>
    <m/>
    <s v="0-2 Years"/>
    <s v="0-2 Years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x v="1"/>
    <n v="5"/>
    <n v="2"/>
    <n v="3"/>
    <n v="0"/>
    <n v="1"/>
    <m/>
    <m/>
    <s v="3-5 Years"/>
    <s v="3-5 Years"/>
    <x v="2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x v="1"/>
    <n v="4"/>
    <n v="2"/>
    <n v="1"/>
    <n v="0"/>
    <n v="1"/>
    <m/>
    <m/>
    <s v="3-5 Years"/>
    <s v="0-2 Years"/>
    <x v="3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x v="0"/>
    <n v="4"/>
    <n v="2"/>
    <n v="1"/>
    <n v="3"/>
    <n v="1"/>
    <m/>
    <m/>
    <s v="3-5 Years"/>
    <s v="0-2 Years"/>
    <x v="0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x v="1"/>
    <n v="5"/>
    <n v="4"/>
    <n v="1"/>
    <n v="4"/>
    <n v="1"/>
    <m/>
    <m/>
    <s v="3-5 Years"/>
    <s v="0-2 Years"/>
    <x v="0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x v="3"/>
    <n v="13"/>
    <n v="7"/>
    <n v="5"/>
    <n v="7"/>
    <n v="1"/>
    <m/>
    <m/>
    <s v="11-15 Years"/>
    <s v="3-5 Years"/>
    <x v="0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x v="1"/>
    <n v="5"/>
    <n v="2"/>
    <n v="1"/>
    <n v="4"/>
    <n v="1"/>
    <m/>
    <m/>
    <s v="3-5 Years"/>
    <s v="0-2 Years"/>
    <x v="2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x v="2"/>
    <n v="4"/>
    <n v="2"/>
    <n v="0"/>
    <n v="1"/>
    <n v="1"/>
    <m/>
    <m/>
    <s v="3-5 Years"/>
    <s v="0-2 Years"/>
    <x v="2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x v="2"/>
    <n v="2"/>
    <n v="2"/>
    <n v="2"/>
    <n v="2"/>
    <n v="1"/>
    <m/>
    <m/>
    <s v="0-2 Years"/>
    <s v="0-2 Years"/>
    <x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x v="1"/>
    <n v="7"/>
    <n v="7"/>
    <n v="7"/>
    <n v="7"/>
    <n v="1"/>
    <m/>
    <m/>
    <s v="6-10 Years"/>
    <s v="6-10 Years"/>
    <x v="2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x v="1"/>
    <n v="4"/>
    <n v="2"/>
    <n v="0"/>
    <n v="3"/>
    <n v="1"/>
    <m/>
    <m/>
    <s v="3-5 Years"/>
    <s v="0-2 Years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x v="2"/>
    <n v="10"/>
    <n v="4"/>
    <n v="0"/>
    <n v="9"/>
    <n v="1"/>
    <m/>
    <m/>
    <s v="6-10 Years"/>
    <s v="0-2 Years"/>
    <x v="2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x v="1"/>
    <n v="7"/>
    <n v="7"/>
    <n v="0"/>
    <n v="7"/>
    <n v="1"/>
    <m/>
    <m/>
    <s v="6-10 Years"/>
    <s v="0-2 Years"/>
    <x v="2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x v="1"/>
    <n v="1"/>
    <n v="0"/>
    <n v="0"/>
    <n v="0"/>
    <n v="1"/>
    <m/>
    <m/>
    <s v="0-2 Years"/>
    <s v="0-2 Years"/>
    <x v="2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x v="1"/>
    <n v="3"/>
    <n v="2"/>
    <n v="1"/>
    <n v="2"/>
    <n v="1"/>
    <m/>
    <m/>
    <s v="3-5 Years"/>
    <s v="0-2 Years"/>
    <x v="0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x v="2"/>
    <n v="5"/>
    <n v="3"/>
    <n v="1"/>
    <n v="2"/>
    <n v="1"/>
    <m/>
    <m/>
    <s v="3-5 Years"/>
    <s v="0-2 Years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x v="1"/>
    <n v="15"/>
    <n v="10"/>
    <n v="6"/>
    <n v="11"/>
    <n v="1"/>
    <m/>
    <m/>
    <s v="11-15 Years"/>
    <s v="6-10 Years"/>
    <x v="2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x v="1"/>
    <n v="2"/>
    <n v="0"/>
    <n v="2"/>
    <n v="2"/>
    <n v="1"/>
    <m/>
    <m/>
    <s v="0-2 Years"/>
    <s v="0-2 Years"/>
    <x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x v="3"/>
    <n v="8"/>
    <n v="7"/>
    <n v="1"/>
    <n v="7"/>
    <n v="1"/>
    <m/>
    <m/>
    <s v="6-10 Years"/>
    <s v="0-2 Years"/>
    <x v="1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x v="1"/>
    <n v="0"/>
    <n v="0"/>
    <n v="0"/>
    <n v="0"/>
    <n v="1"/>
    <m/>
    <m/>
    <s v="0-2 Years"/>
    <s v="0-2 Years"/>
    <x v="3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x v="1"/>
    <n v="10"/>
    <n v="0"/>
    <n v="7"/>
    <n v="9"/>
    <n v="1"/>
    <m/>
    <m/>
    <s v="6-10 Years"/>
    <s v="6-10 Years"/>
    <x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x v="1"/>
    <n v="20"/>
    <n v="11"/>
    <n v="0"/>
    <n v="7"/>
    <n v="1"/>
    <m/>
    <m/>
    <s v="16-20 Years"/>
    <s v="0-2 Years"/>
    <x v="0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x v="2"/>
    <n v="1"/>
    <n v="0"/>
    <n v="0"/>
    <n v="0"/>
    <n v="1"/>
    <m/>
    <m/>
    <s v="0-2 Years"/>
    <s v="0-2 Years"/>
    <x v="3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x v="1"/>
    <n v="4"/>
    <n v="1"/>
    <n v="0"/>
    <n v="3"/>
    <n v="1"/>
    <m/>
    <m/>
    <s v="3-5 Years"/>
    <s v="0-2 Years"/>
    <x v="2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x v="3"/>
    <n v="5"/>
    <n v="2"/>
    <n v="0"/>
    <n v="3"/>
    <n v="1"/>
    <m/>
    <m/>
    <s v="3-5 Years"/>
    <s v="0-2 Years"/>
    <x v="0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x v="1"/>
    <n v="5"/>
    <n v="4"/>
    <n v="4"/>
    <n v="3"/>
    <n v="1"/>
    <m/>
    <m/>
    <s v="3-5 Years"/>
    <s v="3-5 Years"/>
    <x v="1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x v="1"/>
    <n v="0"/>
    <n v="0"/>
    <n v="0"/>
    <n v="0"/>
    <n v="1"/>
    <m/>
    <m/>
    <s v="0-2 Years"/>
    <s v="0-2 Years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x v="1"/>
    <n v="1"/>
    <n v="0"/>
    <n v="0"/>
    <n v="0"/>
    <n v="1"/>
    <m/>
    <m/>
    <s v="0-2 Years"/>
    <s v="0-2 Years"/>
    <x v="2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x v="0"/>
    <n v="5"/>
    <n v="3"/>
    <n v="0"/>
    <n v="4"/>
    <n v="1"/>
    <m/>
    <m/>
    <s v="3-5 Years"/>
    <s v="0-2 Years"/>
    <x v="2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x v="2"/>
    <n v="5"/>
    <n v="3"/>
    <n v="1"/>
    <n v="4"/>
    <n v="1"/>
    <m/>
    <m/>
    <s v="3-5 Years"/>
    <s v="0-2 Years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x v="3"/>
    <n v="4"/>
    <n v="2"/>
    <n v="2"/>
    <n v="3"/>
    <n v="1"/>
    <m/>
    <m/>
    <s v="3-5 Years"/>
    <s v="0-2 Years"/>
    <x v="2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x v="1"/>
    <n v="5"/>
    <n v="4"/>
    <n v="0"/>
    <n v="2"/>
    <n v="1"/>
    <m/>
    <m/>
    <s v="3-5 Years"/>
    <s v="0-2 Years"/>
    <x v="0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x v="2"/>
    <n v="14"/>
    <n v="8"/>
    <n v="2"/>
    <n v="1"/>
    <n v="1"/>
    <m/>
    <m/>
    <s v="11-15 Years"/>
    <s v="0-2 Years"/>
    <x v="2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x v="2"/>
    <n v="8"/>
    <n v="7"/>
    <n v="1"/>
    <n v="1"/>
    <n v="1"/>
    <m/>
    <m/>
    <s v="6-10 Years"/>
    <s v="0-2 Years"/>
    <x v="2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x v="2"/>
    <n v="7"/>
    <n v="7"/>
    <n v="7"/>
    <n v="6"/>
    <n v="1"/>
    <m/>
    <m/>
    <s v="6-10 Years"/>
    <s v="6-10 Years"/>
    <x v="2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x v="2"/>
    <n v="5"/>
    <n v="3"/>
    <n v="0"/>
    <n v="2"/>
    <n v="1"/>
    <m/>
    <m/>
    <s v="3-5 Years"/>
    <s v="0-2 Years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x v="1"/>
    <n v="5"/>
    <n v="1"/>
    <n v="1"/>
    <n v="2"/>
    <n v="1"/>
    <m/>
    <m/>
    <s v="3-5 Years"/>
    <s v="0-2 Years"/>
    <x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x v="1"/>
    <n v="10"/>
    <n v="8"/>
    <n v="8"/>
    <n v="7"/>
    <n v="1"/>
    <m/>
    <m/>
    <s v="6-10 Years"/>
    <s v="6-10 Years"/>
    <x v="2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x v="2"/>
    <n v="4"/>
    <n v="1"/>
    <n v="0"/>
    <n v="3"/>
    <n v="1"/>
    <m/>
    <m/>
    <s v="3-5 Years"/>
    <s v="0-2 Years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x v="2"/>
    <n v="1"/>
    <n v="0"/>
    <n v="0"/>
    <n v="0"/>
    <n v="1"/>
    <m/>
    <m/>
    <s v="0-2 Years"/>
    <s v="0-2 Years"/>
    <x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x v="1"/>
    <n v="10"/>
    <n v="8"/>
    <n v="0"/>
    <n v="9"/>
    <n v="1"/>
    <m/>
    <m/>
    <s v="6-10 Years"/>
    <s v="0-2 Years"/>
    <x v="2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x v="1"/>
    <n v="7"/>
    <n v="7"/>
    <n v="0"/>
    <n v="7"/>
    <n v="1"/>
    <m/>
    <m/>
    <s v="6-10 Years"/>
    <s v="0-2 Years"/>
    <x v="2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x v="1"/>
    <n v="1"/>
    <n v="0"/>
    <n v="0"/>
    <n v="0"/>
    <n v="1"/>
    <m/>
    <m/>
    <s v="0-2 Years"/>
    <s v="0-2 Years"/>
    <x v="2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x v="1"/>
    <n v="10"/>
    <n v="7"/>
    <n v="0"/>
    <n v="8"/>
    <n v="1"/>
    <m/>
    <m/>
    <s v="6-10 Years"/>
    <s v="0-2 Years"/>
    <x v="2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x v="2"/>
    <n v="2"/>
    <n v="2"/>
    <n v="2"/>
    <n v="2"/>
    <n v="1"/>
    <m/>
    <m/>
    <s v="0-2 Years"/>
    <s v="0-2 Years"/>
    <x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x v="2"/>
    <n v="4"/>
    <n v="3"/>
    <n v="2"/>
    <n v="3"/>
    <n v="1"/>
    <m/>
    <m/>
    <s v="3-5 Years"/>
    <s v="0-2 Years"/>
    <x v="1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x v="1"/>
    <n v="9"/>
    <n v="7"/>
    <n v="2"/>
    <n v="8"/>
    <n v="1"/>
    <m/>
    <m/>
    <s v="6-10 Years"/>
    <s v="0-2 Years"/>
    <x v="2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x v="1"/>
    <n v="10"/>
    <n v="9"/>
    <n v="0"/>
    <n v="9"/>
    <n v="1"/>
    <m/>
    <m/>
    <s v="6-10 Years"/>
    <s v="0-2 Years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x v="1"/>
    <n v="6"/>
    <n v="2"/>
    <n v="1"/>
    <n v="2"/>
    <n v="1"/>
    <m/>
    <m/>
    <s v="6-10 Years"/>
    <s v="0-2 Years"/>
    <x v="0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x v="1"/>
    <n v="10"/>
    <n v="9"/>
    <n v="1"/>
    <n v="4"/>
    <n v="1"/>
    <m/>
    <m/>
    <s v="6-10 Years"/>
    <s v="0-2 Years"/>
    <x v="1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x v="1"/>
    <n v="1"/>
    <n v="0"/>
    <n v="0"/>
    <n v="0"/>
    <n v="1"/>
    <m/>
    <m/>
    <s v="0-2 Years"/>
    <s v="0-2 Years"/>
    <x v="2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x v="1"/>
    <n v="20"/>
    <n v="8"/>
    <n v="11"/>
    <n v="10"/>
    <n v="1"/>
    <m/>
    <m/>
    <s v="16-20 Years"/>
    <s v="11-15 Years"/>
    <x v="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x v="1"/>
    <n v="20"/>
    <n v="9"/>
    <n v="3"/>
    <n v="7"/>
    <n v="1"/>
    <m/>
    <m/>
    <s v="16-20 Years"/>
    <s v="3-5 Years"/>
    <x v="0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x v="3"/>
    <n v="11"/>
    <n v="7"/>
    <n v="4"/>
    <n v="8"/>
    <n v="1"/>
    <m/>
    <m/>
    <s v="11-15 Years"/>
    <s v="3-5 Years"/>
    <x v="2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x v="1"/>
    <n v="5"/>
    <n v="2"/>
    <n v="1"/>
    <n v="4"/>
    <n v="1"/>
    <m/>
    <m/>
    <s v="3-5 Years"/>
    <s v="0-2 Years"/>
    <x v="1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x v="2"/>
    <n v="4"/>
    <n v="3"/>
    <n v="1"/>
    <n v="2"/>
    <n v="1"/>
    <m/>
    <m/>
    <s v="3-5 Years"/>
    <s v="0-2 Years"/>
    <x v="4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x v="3"/>
    <n v="5"/>
    <n v="2"/>
    <n v="1"/>
    <n v="4"/>
    <n v="1"/>
    <m/>
    <m/>
    <s v="3-5 Years"/>
    <s v="0-2 Years"/>
    <x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x v="3"/>
    <n v="10"/>
    <n v="9"/>
    <n v="9"/>
    <n v="4"/>
    <n v="1"/>
    <m/>
    <m/>
    <s v="6-10 Years"/>
    <s v="6-10 Years"/>
    <x v="0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x v="1"/>
    <n v="11"/>
    <n v="8"/>
    <n v="5"/>
    <n v="10"/>
    <n v="1"/>
    <m/>
    <m/>
    <s v="11-15 Years"/>
    <s v="3-5 Years"/>
    <x v="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x v="1"/>
    <n v="2"/>
    <n v="0"/>
    <n v="1"/>
    <n v="2"/>
    <n v="1"/>
    <m/>
    <m/>
    <s v="0-2 Years"/>
    <s v="0-2 Years"/>
    <x v="4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x v="2"/>
    <n v="12"/>
    <n v="8"/>
    <n v="1"/>
    <n v="7"/>
    <n v="1"/>
    <m/>
    <m/>
    <s v="11-15 Years"/>
    <s v="0-2 Years"/>
    <x v="2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x v="2"/>
    <n v="2"/>
    <n v="2"/>
    <n v="0"/>
    <n v="2"/>
    <n v="1"/>
    <m/>
    <m/>
    <s v="0-2 Years"/>
    <s v="0-2 Years"/>
    <x v="4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x v="1"/>
    <n v="17"/>
    <n v="14"/>
    <n v="12"/>
    <n v="11"/>
    <n v="1"/>
    <m/>
    <m/>
    <s v="16-20 Years"/>
    <s v="11-15 Years"/>
    <x v="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x v="2"/>
    <n v="1"/>
    <n v="1"/>
    <n v="0"/>
    <n v="0"/>
    <n v="1"/>
    <m/>
    <m/>
    <s v="0-2 Years"/>
    <s v="0-2 Years"/>
    <x v="2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x v="1"/>
    <n v="15"/>
    <n v="13"/>
    <n v="5"/>
    <n v="8"/>
    <n v="1"/>
    <m/>
    <m/>
    <s v="11-15 Years"/>
    <s v="3-5 Years"/>
    <x v="0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x v="1"/>
    <n v="2"/>
    <n v="2"/>
    <n v="1"/>
    <n v="2"/>
    <n v="1"/>
    <m/>
    <m/>
    <s v="0-2 Years"/>
    <s v="0-2 Years"/>
    <x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x v="1"/>
    <n v="8"/>
    <n v="3"/>
    <n v="7"/>
    <n v="7"/>
    <n v="1"/>
    <m/>
    <m/>
    <s v="6-10 Years"/>
    <s v="6-10 Years"/>
    <x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x v="2"/>
    <n v="4"/>
    <n v="3"/>
    <n v="1"/>
    <n v="2"/>
    <n v="1"/>
    <m/>
    <m/>
    <s v="3-5 Years"/>
    <s v="0-2 Years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x v="1"/>
    <n v="5"/>
    <n v="3"/>
    <n v="1"/>
    <n v="0"/>
    <n v="1"/>
    <m/>
    <m/>
    <s v="3-5 Years"/>
    <s v="0-2 Years"/>
    <x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x v="0"/>
    <n v="13"/>
    <n v="8"/>
    <n v="5"/>
    <n v="12"/>
    <n v="1"/>
    <m/>
    <m/>
    <s v="11-15 Years"/>
    <s v="3-5 Years"/>
    <x v="1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x v="1"/>
    <n v="2"/>
    <n v="2"/>
    <n v="2"/>
    <n v="2"/>
    <n v="1"/>
    <m/>
    <m/>
    <s v="0-2 Years"/>
    <s v="0-2 Years"/>
    <x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x v="3"/>
    <n v="3"/>
    <n v="2"/>
    <n v="1"/>
    <n v="2"/>
    <n v="1"/>
    <m/>
    <m/>
    <s v="3-5 Years"/>
    <s v="0-2 Years"/>
    <x v="4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x v="1"/>
    <n v="10"/>
    <n v="7"/>
    <n v="0"/>
    <n v="8"/>
    <n v="1"/>
    <m/>
    <m/>
    <s v="6-10 Years"/>
    <s v="0-2 Years"/>
    <x v="2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x v="1"/>
    <n v="9"/>
    <n v="7"/>
    <n v="8"/>
    <n v="1"/>
    <n v="1"/>
    <m/>
    <m/>
    <s v="6-10 Years"/>
    <s v="6-10 Years"/>
    <x v="2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x v="1"/>
    <n v="6"/>
    <n v="2"/>
    <n v="4"/>
    <n v="1"/>
    <n v="1"/>
    <m/>
    <m/>
    <s v="6-10 Years"/>
    <s v="3-5 Years"/>
    <x v="2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x v="2"/>
    <n v="1"/>
    <n v="0"/>
    <n v="0"/>
    <n v="0"/>
    <n v="1"/>
    <m/>
    <m/>
    <s v="0-2 Years"/>
    <s v="0-2 Years"/>
    <x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x v="1"/>
    <n v="2"/>
    <n v="2"/>
    <n v="2"/>
    <n v="2"/>
    <n v="1"/>
    <m/>
    <m/>
    <s v="0-2 Years"/>
    <s v="0-2 Years"/>
    <x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x v="1"/>
    <n v="7"/>
    <n v="7"/>
    <n v="1"/>
    <n v="7"/>
    <n v="1"/>
    <m/>
    <m/>
    <s v="6-10 Years"/>
    <s v="0-2 Years"/>
    <x v="0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x v="1"/>
    <n v="18"/>
    <n v="16"/>
    <n v="1"/>
    <n v="11"/>
    <n v="1"/>
    <m/>
    <m/>
    <s v="16-20 Years"/>
    <s v="0-2 Years"/>
    <x v="0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x v="1"/>
    <n v="14"/>
    <n v="10"/>
    <n v="5"/>
    <n v="7"/>
    <n v="1"/>
    <m/>
    <m/>
    <s v="11-15 Years"/>
    <s v="3-5 Years"/>
    <x v="2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x v="1"/>
    <n v="16"/>
    <n v="11"/>
    <n v="6"/>
    <n v="8"/>
    <n v="1"/>
    <m/>
    <m/>
    <s v="16-20 Years"/>
    <s v="6-10 Years"/>
    <x v="0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x v="2"/>
    <n v="5"/>
    <n v="3"/>
    <n v="0"/>
    <n v="4"/>
    <n v="1"/>
    <m/>
    <m/>
    <s v="3-5 Years"/>
    <s v="0-2 Years"/>
    <x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x v="2"/>
    <n v="9"/>
    <n v="8"/>
    <n v="0"/>
    <n v="0"/>
    <n v="1"/>
    <m/>
    <m/>
    <s v="6-10 Years"/>
    <s v="0-2 Years"/>
    <x v="1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x v="1"/>
    <n v="4"/>
    <n v="3"/>
    <n v="1"/>
    <n v="2"/>
    <n v="1"/>
    <m/>
    <m/>
    <s v="3-5 Years"/>
    <s v="0-2 Years"/>
    <x v="0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x v="1"/>
    <n v="2"/>
    <n v="2"/>
    <n v="1"/>
    <n v="2"/>
    <n v="1"/>
    <m/>
    <m/>
    <s v="0-2 Years"/>
    <s v="0-2 Years"/>
    <x v="4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x v="2"/>
    <n v="6"/>
    <n v="0"/>
    <n v="1"/>
    <n v="3"/>
    <n v="1"/>
    <m/>
    <m/>
    <s v="6-10 Years"/>
    <s v="0-2 Years"/>
    <x v="0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x v="2"/>
    <n v="1"/>
    <n v="0"/>
    <n v="1"/>
    <n v="0"/>
    <n v="1"/>
    <m/>
    <m/>
    <s v="0-2 Years"/>
    <s v="0-2 Years"/>
    <x v="4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x v="1"/>
    <n v="9"/>
    <n v="7"/>
    <n v="3"/>
    <n v="4"/>
    <n v="1"/>
    <m/>
    <m/>
    <s v="6-10 Years"/>
    <s v="3-5 Years"/>
    <x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x v="1"/>
    <n v="4"/>
    <n v="2"/>
    <n v="0"/>
    <n v="2"/>
    <n v="1"/>
    <m/>
    <m/>
    <s v="3-5 Years"/>
    <s v="0-2 Years"/>
    <x v="0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x v="2"/>
    <n v="13"/>
    <n v="12"/>
    <n v="1"/>
    <n v="9"/>
    <n v="1"/>
    <m/>
    <m/>
    <s v="11-15 Years"/>
    <s v="0-2 Years"/>
    <x v="3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x v="3"/>
    <n v="2"/>
    <n v="2"/>
    <n v="2"/>
    <n v="2"/>
    <n v="1"/>
    <m/>
    <m/>
    <s v="0-2 Years"/>
    <s v="0-2 Years"/>
    <x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x v="2"/>
    <n v="22"/>
    <n v="6"/>
    <n v="4"/>
    <n v="14"/>
    <n v="1"/>
    <m/>
    <m/>
    <s v="21+ Years"/>
    <s v="3-5 Years"/>
    <x v="0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x v="0"/>
    <n v="10"/>
    <n v="9"/>
    <n v="9"/>
    <n v="8"/>
    <n v="1"/>
    <m/>
    <m/>
    <s v="6-10 Years"/>
    <s v="6-10 Years"/>
    <x v="3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x v="1"/>
    <n v="20"/>
    <n v="7"/>
    <n v="0"/>
    <n v="10"/>
    <n v="1"/>
    <m/>
    <m/>
    <s v="16-20 Years"/>
    <s v="0-2 Years"/>
    <x v="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x v="1"/>
    <n v="8"/>
    <n v="7"/>
    <n v="1"/>
    <n v="7"/>
    <n v="1"/>
    <m/>
    <m/>
    <s v="6-10 Years"/>
    <s v="0-2 Years"/>
    <x v="2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x v="2"/>
    <n v="15"/>
    <n v="12"/>
    <n v="11"/>
    <n v="11"/>
    <n v="1"/>
    <m/>
    <m/>
    <s v="11-15 Years"/>
    <s v="11-15 Years"/>
    <x v="0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x v="1"/>
    <n v="5"/>
    <n v="4"/>
    <n v="0"/>
    <n v="4"/>
    <n v="1"/>
    <m/>
    <m/>
    <s v="3-5 Years"/>
    <s v="0-2 Years"/>
    <x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x v="1"/>
    <n v="4"/>
    <n v="2"/>
    <n v="1"/>
    <n v="2"/>
    <n v="1"/>
    <m/>
    <m/>
    <s v="3-5 Years"/>
    <s v="0-2 Years"/>
    <x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x v="1"/>
    <n v="9"/>
    <n v="0"/>
    <n v="1"/>
    <n v="7"/>
    <n v="1"/>
    <m/>
    <m/>
    <s v="6-10 Years"/>
    <s v="0-2 Years"/>
    <x v="2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x v="1"/>
    <n v="10"/>
    <n v="7"/>
    <n v="1"/>
    <n v="9"/>
    <n v="1"/>
    <m/>
    <m/>
    <s v="6-10 Years"/>
    <s v="0-2 Years"/>
    <x v="0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x v="1"/>
    <n v="6"/>
    <n v="3"/>
    <n v="0"/>
    <n v="1"/>
    <n v="1"/>
    <m/>
    <m/>
    <s v="6-10 Years"/>
    <s v="0-2 Years"/>
    <x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x v="2"/>
    <n v="6"/>
    <n v="3"/>
    <n v="0"/>
    <n v="0"/>
    <n v="1"/>
    <m/>
    <m/>
    <s v="6-10 Years"/>
    <s v="0-2 Years"/>
    <x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x v="1"/>
    <n v="5"/>
    <n v="3"/>
    <n v="0"/>
    <n v="1"/>
    <n v="1"/>
    <m/>
    <m/>
    <s v="3-5 Years"/>
    <s v="0-2 Years"/>
    <x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x v="1"/>
    <n v="2"/>
    <n v="2"/>
    <n v="2"/>
    <n v="2"/>
    <n v="1"/>
    <m/>
    <m/>
    <s v="0-2 Years"/>
    <s v="0-2 Years"/>
    <x v="0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x v="3"/>
    <n v="10"/>
    <n v="2"/>
    <n v="0"/>
    <n v="2"/>
    <n v="1"/>
    <m/>
    <m/>
    <s v="6-10 Years"/>
    <s v="0-2 Years"/>
    <x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x v="1"/>
    <n v="5"/>
    <n v="3"/>
    <n v="0"/>
    <n v="2"/>
    <n v="1"/>
    <m/>
    <m/>
    <s v="3-5 Years"/>
    <s v="0-2 Years"/>
    <x v="0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x v="1"/>
    <n v="4"/>
    <n v="3"/>
    <n v="1"/>
    <n v="1"/>
    <n v="1"/>
    <m/>
    <m/>
    <s v="3-5 Years"/>
    <s v="0-2 Years"/>
    <x v="2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x v="1"/>
    <n v="4"/>
    <n v="3"/>
    <n v="0"/>
    <n v="3"/>
    <n v="1"/>
    <m/>
    <m/>
    <s v="3-5 Years"/>
    <s v="0-2 Years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x v="0"/>
    <n v="5"/>
    <n v="4"/>
    <n v="0"/>
    <n v="4"/>
    <n v="1"/>
    <m/>
    <m/>
    <s v="3-5 Years"/>
    <s v="0-2 Years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x v="1"/>
    <n v="3"/>
    <n v="2"/>
    <n v="2"/>
    <n v="0"/>
    <n v="1"/>
    <m/>
    <m/>
    <s v="3-5 Years"/>
    <s v="0-2 Years"/>
    <x v="1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x v="2"/>
    <n v="20"/>
    <n v="9"/>
    <n v="9"/>
    <n v="6"/>
    <n v="1"/>
    <m/>
    <m/>
    <s v="16-20 Years"/>
    <s v="6-10 Years"/>
    <x v="0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x v="1"/>
    <n v="9"/>
    <n v="4"/>
    <n v="1"/>
    <n v="7"/>
    <n v="1"/>
    <m/>
    <m/>
    <s v="6-10 Years"/>
    <s v="0-2 Years"/>
    <x v="2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x v="1"/>
    <n v="4"/>
    <n v="2"/>
    <n v="0"/>
    <n v="0"/>
    <n v="1"/>
    <m/>
    <m/>
    <s v="3-5 Years"/>
    <s v="0-2 Years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x v="1"/>
    <n v="5"/>
    <n v="2"/>
    <n v="0"/>
    <n v="3"/>
    <n v="1"/>
    <m/>
    <m/>
    <s v="3-5 Years"/>
    <s v="0-2 Years"/>
    <x v="0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x v="1"/>
    <n v="7"/>
    <n v="7"/>
    <n v="1"/>
    <n v="7"/>
    <n v="1"/>
    <m/>
    <m/>
    <s v="6-10 Years"/>
    <s v="0-2 Years"/>
    <x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x v="1"/>
    <n v="6"/>
    <n v="2"/>
    <n v="0"/>
    <n v="3"/>
    <n v="1"/>
    <m/>
    <m/>
    <s v="6-10 Years"/>
    <s v="0-2 Years"/>
    <x v="2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x v="2"/>
    <n v="9"/>
    <n v="6"/>
    <n v="0"/>
    <n v="8"/>
    <n v="1"/>
    <m/>
    <m/>
    <s v="6-10 Years"/>
    <s v="0-2 Years"/>
    <x v="1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x v="3"/>
    <n v="4"/>
    <n v="3"/>
    <n v="1"/>
    <n v="2"/>
    <n v="1"/>
    <m/>
    <m/>
    <s v="3-5 Years"/>
    <s v="0-2 Year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3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8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7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4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42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1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5"/>
        <item x="3"/>
        <item x="2"/>
        <item x="0"/>
        <item t="default"/>
      </items>
    </pivotField>
  </pivotFields>
  <rowFields count="1">
    <field x="3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Income" fld="18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0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21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3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" firstHeaderRow="1" firstDataRow="2" firstDataCol="1"/>
  <pivotFields count="40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8" firstHeaderRow="1" firstDataRow="2" firstDataCol="1"/>
  <pivotFields count="40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0" firstHeaderRow="1" firstDataRow="2" firstDataCol="1"/>
  <pivotFields count="41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" firstHeaderRow="1" firstDataRow="2" firstDataCol="1"/>
  <pivotFields count="41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9:B22" totalsRowShown="0">
  <autoFilter ref="A19:B22"/>
  <tableColumns count="2">
    <tableColumn id="1" name="Department" dataDxfId="19"/>
    <tableColumn id="2" name="Attritio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3:B15" totalsRowShown="0">
  <autoFilter ref="A13:B15"/>
  <tableColumns count="2">
    <tableColumn id="1" name="Overtime " dataDxfId="18"/>
    <tableColumn id="2" name="Attrition Rate">
      <calculatedColumnFormula>127/416*100/100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8:B27" totalsRowShown="0">
  <autoFilter ref="A18:B27"/>
  <tableColumns count="2">
    <tableColumn id="1" name="Job Role" dataDxfId="17"/>
    <tableColumn id="2" name="Attrition Rate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A18:B24" totalsRowShown="0">
  <autoFilter ref="A18:B24"/>
  <tableColumns count="2">
    <tableColumn id="1" name="Tenure People" dataDxfId="16"/>
    <tableColumn id="2" name="Attrition 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14:B18" totalsRowShown="0">
  <autoFilter ref="A14:B18"/>
  <tableColumns count="2">
    <tableColumn id="1" name="Tenure_people" dataDxfId="15"/>
    <tableColumn id="2" name="Attrition 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A12:B15" totalsRowShown="0">
  <autoFilter ref="A12:B15"/>
  <tableColumns count="2">
    <tableColumn id="1" name="Business Travel" dataDxfId="14"/>
    <tableColumn id="2" name="Attrition 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5:B20" totalsRowShown="0">
  <autoFilter ref="A15:B20"/>
  <tableColumns count="2">
    <tableColumn id="1" name="Age Group" dataDxfId="13"/>
    <tableColumn id="2" name="Attrition 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4" name="Table14" displayName="Table14" ref="A15:B19" totalsRowShown="0">
  <autoFilter ref="A15:B19"/>
  <tableColumns count="2">
    <tableColumn id="1" name="Worklife Balance " dataDxfId="12"/>
    <tableColumn id="2" name="Attrition Rate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" name="Table13" displayName="Table13" ref="B8:C11" totalsRowShown="0">
  <autoFilter ref="B8:C11"/>
  <tableColumns count="2">
    <tableColumn id="1" name="Department" dataDxfId="11"/>
    <tableColumn id="2" name="Attrition R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Table35" displayName="Table35" ref="E8:F10" totalsRowShown="0">
  <autoFilter ref="E8:F10"/>
  <tableColumns count="2">
    <tableColumn id="2" name="Overtime"/>
    <tableColumn id="1" name="Attrition Rate " data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8" name="Table79" displayName="Table79" ref="B23:C28" totalsRowShown="0">
  <autoFilter ref="B23:C28"/>
  <tableColumns count="2">
    <tableColumn id="1" name="Age Group" dataDxfId="9"/>
    <tableColumn id="2" name="Attrition Rate" dataDxfId="8" dataCellStyle="Perc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113" displayName="Table1113" ref="H7:I10" totalsRowShown="0">
  <autoFilter ref="H7:I10"/>
  <tableColumns count="2">
    <tableColumn id="1" name="Business Travel" dataDxfId="7"/>
    <tableColumn id="2" name="Attrition Rate" dataDxfId="6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5714" displayName="Table5714" ref="B43:C52" totalsRowShown="0">
  <autoFilter ref="B43:C52"/>
  <tableColumns count="2">
    <tableColumn id="1" name="Department" dataDxfId="5"/>
    <tableColumn id="2" name="Attrition Rate " dataDxfId="4" dataCellStyle="Per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5" name="Table1416" displayName="Table1416" ref="H23:I27" totalsRowShown="0">
  <autoFilter ref="H23:I27"/>
  <tableColumns count="2">
    <tableColumn id="1" name="Worklife Balance " dataDxfId="3"/>
    <tableColumn id="2" name="Attrition Rate " dataDxfId="2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7" name="Table1618" displayName="Table1618" ref="E23:F29" totalsRowShown="0">
  <autoFilter ref="E23:F29"/>
  <tableColumns count="2">
    <tableColumn id="1" name="Tenure People" dataDxfId="1"/>
    <tableColumn id="2" name="Attrition Rate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25.7109375" bestFit="1" customWidth="1"/>
  </cols>
  <sheetData>
    <row r="3" spans="1:2" x14ac:dyDescent="0.25">
      <c r="A3" s="1" t="s">
        <v>65</v>
      </c>
      <c r="B3" t="s">
        <v>67</v>
      </c>
    </row>
    <row r="4" spans="1:2" x14ac:dyDescent="0.25">
      <c r="A4" s="2" t="s">
        <v>43</v>
      </c>
      <c r="B4" s="3">
        <v>1233</v>
      </c>
    </row>
    <row r="5" spans="1:2" x14ac:dyDescent="0.25">
      <c r="A5" s="2" t="s">
        <v>35</v>
      </c>
      <c r="B5" s="3">
        <v>237</v>
      </c>
    </row>
    <row r="6" spans="1:2" x14ac:dyDescent="0.25">
      <c r="A6" s="2" t="s">
        <v>66</v>
      </c>
      <c r="B6" s="3">
        <v>1470</v>
      </c>
    </row>
    <row r="8" spans="1:2" x14ac:dyDescent="0.25">
      <c r="A8" s="2" t="s">
        <v>68</v>
      </c>
      <c r="B8">
        <f>237/1470*100</f>
        <v>16.122448979591837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2"/>
  <sheetViews>
    <sheetView workbookViewId="0">
      <selection activeCell="A19" sqref="A19:B22"/>
    </sheetView>
  </sheetViews>
  <sheetFormatPr defaultRowHeight="15" x14ac:dyDescent="0.25"/>
  <cols>
    <col min="1" max="1" width="25.7109375" customWidth="1"/>
    <col min="2" max="2" width="16.28515625" bestFit="1" customWidth="1"/>
    <col min="3" max="3" width="10.85546875" customWidth="1"/>
    <col min="4" max="4" width="20.5703125" customWidth="1"/>
    <col min="6" max="6" width="19" customWidth="1"/>
  </cols>
  <sheetData>
    <row r="3" spans="1:6" x14ac:dyDescent="0.25">
      <c r="A3" s="1" t="s">
        <v>67</v>
      </c>
      <c r="B3" s="1" t="s">
        <v>69</v>
      </c>
      <c r="F3" t="s">
        <v>70</v>
      </c>
    </row>
    <row r="4" spans="1:6" x14ac:dyDescent="0.25">
      <c r="A4" s="1" t="s">
        <v>65</v>
      </c>
      <c r="B4" t="s">
        <v>43</v>
      </c>
      <c r="C4" t="s">
        <v>35</v>
      </c>
      <c r="D4" t="s">
        <v>66</v>
      </c>
    </row>
    <row r="5" spans="1:6" x14ac:dyDescent="0.25">
      <c r="A5" s="2" t="s">
        <v>61</v>
      </c>
      <c r="B5" s="3">
        <v>51</v>
      </c>
      <c r="C5" s="3">
        <v>12</v>
      </c>
      <c r="D5" s="3">
        <v>63</v>
      </c>
      <c r="F5">
        <f>12/63*100</f>
        <v>19.047619047619047</v>
      </c>
    </row>
    <row r="6" spans="1:6" x14ac:dyDescent="0.25">
      <c r="A6" s="2" t="s">
        <v>45</v>
      </c>
      <c r="B6" s="3">
        <v>828</v>
      </c>
      <c r="C6" s="3">
        <v>133</v>
      </c>
      <c r="D6" s="3">
        <v>961</v>
      </c>
      <c r="F6">
        <f>133/961*100</f>
        <v>13.839750260145681</v>
      </c>
    </row>
    <row r="7" spans="1:6" x14ac:dyDescent="0.25">
      <c r="A7" s="2" t="s">
        <v>37</v>
      </c>
      <c r="B7" s="3">
        <v>354</v>
      </c>
      <c r="C7" s="3">
        <v>92</v>
      </c>
      <c r="D7" s="3">
        <v>446</v>
      </c>
      <c r="F7">
        <f>92/446*100</f>
        <v>20.627802690582961</v>
      </c>
    </row>
    <row r="8" spans="1:6" x14ac:dyDescent="0.25">
      <c r="A8" s="2" t="s">
        <v>66</v>
      </c>
      <c r="B8" s="3">
        <v>1233</v>
      </c>
      <c r="C8" s="3">
        <v>237</v>
      </c>
      <c r="D8" s="3">
        <v>1470</v>
      </c>
    </row>
    <row r="19" spans="1:2" x14ac:dyDescent="0.25">
      <c r="A19" s="2" t="s">
        <v>4</v>
      </c>
      <c r="B19" t="s">
        <v>74</v>
      </c>
    </row>
    <row r="20" spans="1:2" x14ac:dyDescent="0.25">
      <c r="A20" s="2" t="s">
        <v>61</v>
      </c>
      <c r="B20">
        <f>12/63*100</f>
        <v>19.047619047619047</v>
      </c>
    </row>
    <row r="21" spans="1:2" x14ac:dyDescent="0.25">
      <c r="A21" s="2" t="s">
        <v>45</v>
      </c>
      <c r="B21">
        <f>133/961*100</f>
        <v>13.839750260145681</v>
      </c>
    </row>
    <row r="22" spans="1:2" x14ac:dyDescent="0.25">
      <c r="A22" s="2" t="s">
        <v>37</v>
      </c>
      <c r="B22">
        <f>92/446*100</f>
        <v>20.627802690582961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"/>
  <sheetViews>
    <sheetView workbookViewId="0">
      <selection activeCell="B14" sqref="B14:B15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15.28515625" customWidth="1"/>
    <col min="4" max="4" width="11.28515625" bestFit="1" customWidth="1"/>
    <col min="5" max="5" width="25.28515625" customWidth="1"/>
    <col min="6" max="6" width="21.140625" customWidth="1"/>
  </cols>
  <sheetData>
    <row r="3" spans="1:6" x14ac:dyDescent="0.25">
      <c r="A3" s="1" t="s">
        <v>67</v>
      </c>
      <c r="B3" s="1" t="s">
        <v>69</v>
      </c>
    </row>
    <row r="4" spans="1:6" x14ac:dyDescent="0.25">
      <c r="A4" s="1" t="s">
        <v>65</v>
      </c>
      <c r="B4" t="s">
        <v>43</v>
      </c>
      <c r="C4" t="s">
        <v>35</v>
      </c>
      <c r="D4" t="s">
        <v>66</v>
      </c>
      <c r="E4" t="s">
        <v>71</v>
      </c>
      <c r="F4" t="s">
        <v>72</v>
      </c>
    </row>
    <row r="5" spans="1:6" x14ac:dyDescent="0.25">
      <c r="A5" s="2" t="s">
        <v>43</v>
      </c>
      <c r="B5" s="3">
        <v>944</v>
      </c>
      <c r="C5" s="3">
        <v>110</v>
      </c>
      <c r="D5" s="3">
        <v>1054</v>
      </c>
      <c r="E5">
        <f>110/1054*100/100</f>
        <v>0.10436432637571158</v>
      </c>
      <c r="F5">
        <f>944/1054*100</f>
        <v>89.563567362428842</v>
      </c>
    </row>
    <row r="6" spans="1:6" x14ac:dyDescent="0.25">
      <c r="A6" s="2" t="s">
        <v>35</v>
      </c>
      <c r="B6" s="3">
        <v>289</v>
      </c>
      <c r="C6" s="3">
        <v>127</v>
      </c>
      <c r="D6" s="3">
        <v>416</v>
      </c>
      <c r="E6">
        <f>127/416*100/100</f>
        <v>0.30528846153846156</v>
      </c>
      <c r="F6">
        <f>289/416*100</f>
        <v>69.47115384615384</v>
      </c>
    </row>
    <row r="7" spans="1:6" x14ac:dyDescent="0.25">
      <c r="A7" s="2" t="s">
        <v>66</v>
      </c>
      <c r="B7" s="3">
        <v>1233</v>
      </c>
      <c r="C7" s="3">
        <v>237</v>
      </c>
      <c r="D7" s="3">
        <v>1470</v>
      </c>
      <c r="F7">
        <f>SUM(F5:F6)</f>
        <v>159.03472120858268</v>
      </c>
    </row>
    <row r="13" spans="1:6" x14ac:dyDescent="0.25">
      <c r="A13" t="s">
        <v>99</v>
      </c>
      <c r="B13" t="s">
        <v>74</v>
      </c>
    </row>
    <row r="14" spans="1:6" x14ac:dyDescent="0.25">
      <c r="A14" s="2" t="s">
        <v>43</v>
      </c>
      <c r="B14">
        <f>110/1054*100/100</f>
        <v>0.10436432637571158</v>
      </c>
    </row>
    <row r="15" spans="1:6" x14ac:dyDescent="0.25">
      <c r="A15" s="2" t="s">
        <v>35</v>
      </c>
      <c r="B15">
        <f>127/416*100/100</f>
        <v>0.30528846153846156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7"/>
  <sheetViews>
    <sheetView workbookViewId="0">
      <selection activeCell="A18" sqref="A18:B27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16.42578125" customWidth="1"/>
    <col min="4" max="4" width="11.28515625" bestFit="1" customWidth="1"/>
    <col min="5" max="5" width="23.42578125" customWidth="1"/>
  </cols>
  <sheetData>
    <row r="3" spans="1:5" x14ac:dyDescent="0.25">
      <c r="A3" s="1" t="s">
        <v>67</v>
      </c>
      <c r="B3" s="1" t="s">
        <v>69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  <c r="E4" t="s">
        <v>73</v>
      </c>
    </row>
    <row r="5" spans="1:5" x14ac:dyDescent="0.25">
      <c r="A5" s="2" t="s">
        <v>54</v>
      </c>
      <c r="B5" s="3">
        <v>122</v>
      </c>
      <c r="C5" s="3">
        <v>9</v>
      </c>
      <c r="D5" s="3">
        <v>131</v>
      </c>
      <c r="E5">
        <f>9/131*100/100</f>
        <v>6.8702290076335881E-2</v>
      </c>
    </row>
    <row r="6" spans="1:5" x14ac:dyDescent="0.25">
      <c r="A6" s="2" t="s">
        <v>61</v>
      </c>
      <c r="B6" s="3">
        <v>40</v>
      </c>
      <c r="C6" s="3">
        <v>12</v>
      </c>
      <c r="D6" s="3">
        <v>52</v>
      </c>
      <c r="E6">
        <f>12/52*100/100</f>
        <v>0.23076923076923075</v>
      </c>
    </row>
    <row r="7" spans="1:5" x14ac:dyDescent="0.25">
      <c r="A7" s="2" t="s">
        <v>50</v>
      </c>
      <c r="B7" s="3">
        <v>197</v>
      </c>
      <c r="C7" s="3">
        <v>62</v>
      </c>
      <c r="D7" s="3">
        <v>259</v>
      </c>
      <c r="E7">
        <f>62/259*100/100</f>
        <v>0.23938223938223938</v>
      </c>
    </row>
    <row r="8" spans="1:5" x14ac:dyDescent="0.25">
      <c r="A8" s="2" t="s">
        <v>56</v>
      </c>
      <c r="B8" s="3">
        <v>97</v>
      </c>
      <c r="C8" s="3">
        <v>5</v>
      </c>
      <c r="D8" s="3">
        <v>102</v>
      </c>
      <c r="E8">
        <f>5/102*100/100</f>
        <v>4.9019607843137261E-2</v>
      </c>
    </row>
    <row r="9" spans="1:5" x14ac:dyDescent="0.25">
      <c r="A9" s="2" t="s">
        <v>53</v>
      </c>
      <c r="B9" s="3">
        <v>135</v>
      </c>
      <c r="C9" s="3">
        <v>10</v>
      </c>
      <c r="D9" s="3">
        <v>145</v>
      </c>
      <c r="E9">
        <f>10/145*100/100</f>
        <v>6.8965517241379309E-2</v>
      </c>
    </row>
    <row r="10" spans="1:5" x14ac:dyDescent="0.25">
      <c r="A10" s="2" t="s">
        <v>58</v>
      </c>
      <c r="B10" s="3">
        <v>78</v>
      </c>
      <c r="C10" s="3">
        <v>2</v>
      </c>
      <c r="D10" s="3">
        <v>80</v>
      </c>
      <c r="E10">
        <f>2/80*100/100</f>
        <v>2.5000000000000001E-2</v>
      </c>
    </row>
    <row r="11" spans="1:5" x14ac:dyDescent="0.25">
      <c r="A11" s="2" t="s">
        <v>47</v>
      </c>
      <c r="B11" s="3">
        <v>245</v>
      </c>
      <c r="C11" s="3">
        <v>47</v>
      </c>
      <c r="D11" s="3">
        <v>292</v>
      </c>
      <c r="E11">
        <f>47/297*100/100</f>
        <v>0.15824915824915825</v>
      </c>
    </row>
    <row r="12" spans="1:5" x14ac:dyDescent="0.25">
      <c r="A12" s="2" t="s">
        <v>40</v>
      </c>
      <c r="B12" s="3">
        <v>269</v>
      </c>
      <c r="C12" s="3">
        <v>57</v>
      </c>
      <c r="D12" s="3">
        <v>326</v>
      </c>
      <c r="E12">
        <f>57/326*100/100</f>
        <v>0.17484662576687116</v>
      </c>
    </row>
    <row r="13" spans="1:5" x14ac:dyDescent="0.25">
      <c r="A13" s="2" t="s">
        <v>57</v>
      </c>
      <c r="B13" s="3">
        <v>50</v>
      </c>
      <c r="C13" s="3">
        <v>33</v>
      </c>
      <c r="D13" s="3">
        <v>83</v>
      </c>
      <c r="E13">
        <f>33/83*100/100</f>
        <v>0.39759036144578308</v>
      </c>
    </row>
    <row r="14" spans="1:5" x14ac:dyDescent="0.25">
      <c r="A14" s="2" t="s">
        <v>66</v>
      </c>
      <c r="B14" s="3">
        <v>1233</v>
      </c>
      <c r="C14" s="3">
        <v>237</v>
      </c>
      <c r="D14" s="3">
        <v>1470</v>
      </c>
    </row>
    <row r="18" spans="1:2" x14ac:dyDescent="0.25">
      <c r="A18" t="s">
        <v>102</v>
      </c>
      <c r="B18" t="s">
        <v>100</v>
      </c>
    </row>
    <row r="19" spans="1:2" x14ac:dyDescent="0.25">
      <c r="A19" s="2" t="s">
        <v>54</v>
      </c>
      <c r="B19">
        <f>9/131*100/100</f>
        <v>6.8702290076335881E-2</v>
      </c>
    </row>
    <row r="20" spans="1:2" x14ac:dyDescent="0.25">
      <c r="A20" s="2" t="s">
        <v>61</v>
      </c>
      <c r="B20">
        <f>12/52*100/100</f>
        <v>0.23076923076923075</v>
      </c>
    </row>
    <row r="21" spans="1:2" x14ac:dyDescent="0.25">
      <c r="A21" s="2" t="s">
        <v>50</v>
      </c>
      <c r="B21">
        <f>62/259*100/100</f>
        <v>0.23938223938223938</v>
      </c>
    </row>
    <row r="22" spans="1:2" x14ac:dyDescent="0.25">
      <c r="A22" s="2" t="s">
        <v>56</v>
      </c>
      <c r="B22">
        <f>5/102*100/100</f>
        <v>4.9019607843137261E-2</v>
      </c>
    </row>
    <row r="23" spans="1:2" x14ac:dyDescent="0.25">
      <c r="A23" s="2" t="s">
        <v>53</v>
      </c>
      <c r="B23">
        <f>10/145*100/100</f>
        <v>6.8965517241379309E-2</v>
      </c>
    </row>
    <row r="24" spans="1:2" x14ac:dyDescent="0.25">
      <c r="A24" s="2" t="s">
        <v>58</v>
      </c>
      <c r="B24">
        <f>2/80*100/100</f>
        <v>2.5000000000000001E-2</v>
      </c>
    </row>
    <row r="25" spans="1:2" x14ac:dyDescent="0.25">
      <c r="A25" s="2" t="s">
        <v>47</v>
      </c>
      <c r="B25">
        <f>47/297*100/100</f>
        <v>0.15824915824915825</v>
      </c>
    </row>
    <row r="26" spans="1:2" x14ac:dyDescent="0.25">
      <c r="A26" s="2" t="s">
        <v>40</v>
      </c>
      <c r="B26">
        <f>57/326*100/100</f>
        <v>0.17484662576687116</v>
      </c>
    </row>
    <row r="27" spans="1:2" x14ac:dyDescent="0.25">
      <c r="A27" s="2" t="s">
        <v>57</v>
      </c>
      <c r="B27">
        <f>33/83*100/100</f>
        <v>0.39759036144578308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7" sqref="B7"/>
    </sheetView>
  </sheetViews>
  <sheetFormatPr defaultRowHeight="15" x14ac:dyDescent="0.25"/>
  <cols>
    <col min="1" max="1" width="25.7109375" customWidth="1"/>
    <col min="2" max="2" width="16.28515625" bestFit="1" customWidth="1"/>
    <col min="3" max="3" width="4.140625" customWidth="1"/>
    <col min="4" max="4" width="11.28515625" bestFit="1" customWidth="1"/>
    <col min="5" max="5" width="25" customWidth="1"/>
  </cols>
  <sheetData>
    <row r="3" spans="1:5" x14ac:dyDescent="0.25">
      <c r="A3" s="1" t="s">
        <v>67</v>
      </c>
      <c r="B3" s="1" t="s">
        <v>69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  <c r="E4" t="s">
        <v>74</v>
      </c>
    </row>
    <row r="5" spans="1:5" x14ac:dyDescent="0.25">
      <c r="A5" s="2">
        <v>1</v>
      </c>
      <c r="B5" s="3">
        <v>223</v>
      </c>
      <c r="C5" s="3">
        <v>66</v>
      </c>
      <c r="D5" s="3">
        <v>289</v>
      </c>
      <c r="E5">
        <f>66/289*100</f>
        <v>22.837370242214533</v>
      </c>
    </row>
    <row r="6" spans="1:5" x14ac:dyDescent="0.25">
      <c r="A6" s="2">
        <v>2</v>
      </c>
      <c r="B6" s="3">
        <v>234</v>
      </c>
      <c r="C6" s="3">
        <v>46</v>
      </c>
      <c r="D6" s="3">
        <v>280</v>
      </c>
      <c r="E6">
        <f>46/280*100</f>
        <v>16.428571428571427</v>
      </c>
    </row>
    <row r="7" spans="1:5" x14ac:dyDescent="0.25">
      <c r="A7" s="2">
        <v>3</v>
      </c>
      <c r="B7" s="3">
        <v>369</v>
      </c>
      <c r="C7" s="3">
        <v>73</v>
      </c>
      <c r="D7" s="3">
        <v>442</v>
      </c>
      <c r="E7">
        <f>73/442*100</f>
        <v>16.515837104072396</v>
      </c>
    </row>
    <row r="8" spans="1:5" x14ac:dyDescent="0.25">
      <c r="A8" s="2">
        <v>4</v>
      </c>
      <c r="B8" s="3">
        <v>407</v>
      </c>
      <c r="C8" s="3">
        <v>52</v>
      </c>
      <c r="D8" s="3">
        <v>459</v>
      </c>
      <c r="E8">
        <f>52/459*100</f>
        <v>11.328976034858387</v>
      </c>
    </row>
    <row r="9" spans="1:5" x14ac:dyDescent="0.25">
      <c r="A9" s="2" t="s">
        <v>66</v>
      </c>
      <c r="B9" s="3">
        <v>1233</v>
      </c>
      <c r="C9" s="3">
        <v>237</v>
      </c>
      <c r="D9" s="3">
        <v>1470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2"/>
  <sheetViews>
    <sheetView topLeftCell="A23" workbookViewId="0">
      <selection activeCell="A3" sqref="A3:D42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1" t="s">
        <v>67</v>
      </c>
      <c r="B3" s="1" t="s">
        <v>69</v>
      </c>
    </row>
    <row r="4" spans="1:4" x14ac:dyDescent="0.25">
      <c r="A4" s="1" t="s">
        <v>65</v>
      </c>
      <c r="B4" t="s">
        <v>43</v>
      </c>
      <c r="C4" t="s">
        <v>35</v>
      </c>
      <c r="D4" t="s">
        <v>66</v>
      </c>
    </row>
    <row r="5" spans="1:4" x14ac:dyDescent="0.25">
      <c r="A5" s="2">
        <v>0</v>
      </c>
      <c r="B5" s="3">
        <v>28</v>
      </c>
      <c r="C5" s="3">
        <v>16</v>
      </c>
      <c r="D5" s="3">
        <v>44</v>
      </c>
    </row>
    <row r="6" spans="1:4" x14ac:dyDescent="0.25">
      <c r="A6" s="2">
        <v>1</v>
      </c>
      <c r="B6" s="3">
        <v>112</v>
      </c>
      <c r="C6" s="3">
        <v>59</v>
      </c>
      <c r="D6" s="3">
        <v>171</v>
      </c>
    </row>
    <row r="7" spans="1:4" x14ac:dyDescent="0.25">
      <c r="A7" s="2">
        <v>2</v>
      </c>
      <c r="B7" s="3">
        <v>100</v>
      </c>
      <c r="C7" s="3">
        <v>27</v>
      </c>
      <c r="D7" s="3">
        <v>127</v>
      </c>
    </row>
    <row r="8" spans="1:4" x14ac:dyDescent="0.25">
      <c r="A8" s="2">
        <v>3</v>
      </c>
      <c r="B8" s="3">
        <v>108</v>
      </c>
      <c r="C8" s="3">
        <v>20</v>
      </c>
      <c r="D8" s="3">
        <v>128</v>
      </c>
    </row>
    <row r="9" spans="1:4" x14ac:dyDescent="0.25">
      <c r="A9" s="2">
        <v>4</v>
      </c>
      <c r="B9" s="3">
        <v>91</v>
      </c>
      <c r="C9" s="3">
        <v>19</v>
      </c>
      <c r="D9" s="3">
        <v>110</v>
      </c>
    </row>
    <row r="10" spans="1:4" x14ac:dyDescent="0.25">
      <c r="A10" s="2">
        <v>5</v>
      </c>
      <c r="B10" s="3">
        <v>175</v>
      </c>
      <c r="C10" s="3">
        <v>21</v>
      </c>
      <c r="D10" s="3">
        <v>196</v>
      </c>
    </row>
    <row r="11" spans="1:4" x14ac:dyDescent="0.25">
      <c r="A11" s="2">
        <v>6</v>
      </c>
      <c r="B11" s="3">
        <v>67</v>
      </c>
      <c r="C11" s="3">
        <v>9</v>
      </c>
      <c r="D11" s="3">
        <v>76</v>
      </c>
    </row>
    <row r="12" spans="1:4" x14ac:dyDescent="0.25">
      <c r="A12" s="2">
        <v>7</v>
      </c>
      <c r="B12" s="3">
        <v>79</v>
      </c>
      <c r="C12" s="3">
        <v>11</v>
      </c>
      <c r="D12" s="3">
        <v>90</v>
      </c>
    </row>
    <row r="13" spans="1:4" x14ac:dyDescent="0.25">
      <c r="A13" s="2">
        <v>8</v>
      </c>
      <c r="B13" s="3">
        <v>71</v>
      </c>
      <c r="C13" s="3">
        <v>9</v>
      </c>
      <c r="D13" s="3">
        <v>80</v>
      </c>
    </row>
    <row r="14" spans="1:4" x14ac:dyDescent="0.25">
      <c r="A14" s="2">
        <v>9</v>
      </c>
      <c r="B14" s="3">
        <v>74</v>
      </c>
      <c r="C14" s="3">
        <v>8</v>
      </c>
      <c r="D14" s="3">
        <v>82</v>
      </c>
    </row>
    <row r="15" spans="1:4" x14ac:dyDescent="0.25">
      <c r="A15" s="2">
        <v>10</v>
      </c>
      <c r="B15" s="3">
        <v>102</v>
      </c>
      <c r="C15" s="3">
        <v>18</v>
      </c>
      <c r="D15" s="3">
        <v>120</v>
      </c>
    </row>
    <row r="16" spans="1:4" x14ac:dyDescent="0.25">
      <c r="A16" s="2">
        <v>11</v>
      </c>
      <c r="B16" s="3">
        <v>30</v>
      </c>
      <c r="C16" s="3">
        <v>2</v>
      </c>
      <c r="D16" s="3">
        <v>32</v>
      </c>
    </row>
    <row r="17" spans="1:4" x14ac:dyDescent="0.25">
      <c r="A17" s="2">
        <v>12</v>
      </c>
      <c r="B17" s="3">
        <v>14</v>
      </c>
      <c r="C17" s="3"/>
      <c r="D17" s="3">
        <v>14</v>
      </c>
    </row>
    <row r="18" spans="1:4" x14ac:dyDescent="0.25">
      <c r="A18" s="2">
        <v>13</v>
      </c>
      <c r="B18" s="3">
        <v>22</v>
      </c>
      <c r="C18" s="3">
        <v>2</v>
      </c>
      <c r="D18" s="3">
        <v>24</v>
      </c>
    </row>
    <row r="19" spans="1:4" x14ac:dyDescent="0.25">
      <c r="A19" s="2">
        <v>14</v>
      </c>
      <c r="B19" s="3">
        <v>16</v>
      </c>
      <c r="C19" s="3">
        <v>2</v>
      </c>
      <c r="D19" s="3">
        <v>18</v>
      </c>
    </row>
    <row r="20" spans="1:4" x14ac:dyDescent="0.25">
      <c r="A20" s="2">
        <v>15</v>
      </c>
      <c r="B20" s="3">
        <v>19</v>
      </c>
      <c r="C20" s="3">
        <v>1</v>
      </c>
      <c r="D20" s="3">
        <v>20</v>
      </c>
    </row>
    <row r="21" spans="1:4" x14ac:dyDescent="0.25">
      <c r="A21" s="2">
        <v>16</v>
      </c>
      <c r="B21" s="3">
        <v>11</v>
      </c>
      <c r="C21" s="3">
        <v>1</v>
      </c>
      <c r="D21" s="3">
        <v>12</v>
      </c>
    </row>
    <row r="22" spans="1:4" x14ac:dyDescent="0.25">
      <c r="A22" s="2">
        <v>17</v>
      </c>
      <c r="B22" s="3">
        <v>8</v>
      </c>
      <c r="C22" s="3">
        <v>1</v>
      </c>
      <c r="D22" s="3">
        <v>9</v>
      </c>
    </row>
    <row r="23" spans="1:4" x14ac:dyDescent="0.25">
      <c r="A23" s="2">
        <v>18</v>
      </c>
      <c r="B23" s="3">
        <v>12</v>
      </c>
      <c r="C23" s="3">
        <v>1</v>
      </c>
      <c r="D23" s="3">
        <v>13</v>
      </c>
    </row>
    <row r="24" spans="1:4" x14ac:dyDescent="0.25">
      <c r="A24" s="2">
        <v>19</v>
      </c>
      <c r="B24" s="3">
        <v>10</v>
      </c>
      <c r="C24" s="3">
        <v>1</v>
      </c>
      <c r="D24" s="3">
        <v>11</v>
      </c>
    </row>
    <row r="25" spans="1:4" x14ac:dyDescent="0.25">
      <c r="A25" s="2">
        <v>20</v>
      </c>
      <c r="B25" s="3">
        <v>26</v>
      </c>
      <c r="C25" s="3">
        <v>1</v>
      </c>
      <c r="D25" s="3">
        <v>27</v>
      </c>
    </row>
    <row r="26" spans="1:4" x14ac:dyDescent="0.25">
      <c r="A26" s="2">
        <v>21</v>
      </c>
      <c r="B26" s="3">
        <v>13</v>
      </c>
      <c r="C26" s="3">
        <v>1</v>
      </c>
      <c r="D26" s="3">
        <v>14</v>
      </c>
    </row>
    <row r="27" spans="1:4" x14ac:dyDescent="0.25">
      <c r="A27" s="2">
        <v>22</v>
      </c>
      <c r="B27" s="3">
        <v>14</v>
      </c>
      <c r="C27" s="3">
        <v>1</v>
      </c>
      <c r="D27" s="3">
        <v>15</v>
      </c>
    </row>
    <row r="28" spans="1:4" x14ac:dyDescent="0.25">
      <c r="A28" s="2">
        <v>23</v>
      </c>
      <c r="B28" s="3">
        <v>1</v>
      </c>
      <c r="C28" s="3">
        <v>1</v>
      </c>
      <c r="D28" s="3">
        <v>2</v>
      </c>
    </row>
    <row r="29" spans="1:4" x14ac:dyDescent="0.25">
      <c r="A29" s="2">
        <v>24</v>
      </c>
      <c r="B29" s="3">
        <v>5</v>
      </c>
      <c r="C29" s="3">
        <v>1</v>
      </c>
      <c r="D29" s="3">
        <v>6</v>
      </c>
    </row>
    <row r="30" spans="1:4" x14ac:dyDescent="0.25">
      <c r="A30" s="2">
        <v>25</v>
      </c>
      <c r="B30" s="3">
        <v>4</v>
      </c>
      <c r="C30" s="3"/>
      <c r="D30" s="3">
        <v>4</v>
      </c>
    </row>
    <row r="31" spans="1:4" x14ac:dyDescent="0.25">
      <c r="A31" s="2">
        <v>26</v>
      </c>
      <c r="B31" s="3">
        <v>4</v>
      </c>
      <c r="C31" s="3"/>
      <c r="D31" s="3">
        <v>4</v>
      </c>
    </row>
    <row r="32" spans="1:4" x14ac:dyDescent="0.25">
      <c r="A32" s="2">
        <v>27</v>
      </c>
      <c r="B32" s="3">
        <v>2</v>
      </c>
      <c r="C32" s="3"/>
      <c r="D32" s="3">
        <v>2</v>
      </c>
    </row>
    <row r="33" spans="1:4" x14ac:dyDescent="0.25">
      <c r="A33" s="2">
        <v>29</v>
      </c>
      <c r="B33" s="3">
        <v>2</v>
      </c>
      <c r="C33" s="3"/>
      <c r="D33" s="3">
        <v>2</v>
      </c>
    </row>
    <row r="34" spans="1:4" x14ac:dyDescent="0.25">
      <c r="A34" s="2">
        <v>30</v>
      </c>
      <c r="B34" s="3">
        <v>1</v>
      </c>
      <c r="C34" s="3"/>
      <c r="D34" s="3">
        <v>1</v>
      </c>
    </row>
    <row r="35" spans="1:4" x14ac:dyDescent="0.25">
      <c r="A35" s="2">
        <v>31</v>
      </c>
      <c r="B35" s="3">
        <v>2</v>
      </c>
      <c r="C35" s="3">
        <v>1</v>
      </c>
      <c r="D35" s="3">
        <v>3</v>
      </c>
    </row>
    <row r="36" spans="1:4" x14ac:dyDescent="0.25">
      <c r="A36" s="2">
        <v>32</v>
      </c>
      <c r="B36" s="3">
        <v>2</v>
      </c>
      <c r="C36" s="3">
        <v>1</v>
      </c>
      <c r="D36" s="3">
        <v>3</v>
      </c>
    </row>
    <row r="37" spans="1:4" x14ac:dyDescent="0.25">
      <c r="A37" s="2">
        <v>33</v>
      </c>
      <c r="B37" s="3">
        <v>4</v>
      </c>
      <c r="C37" s="3">
        <v>1</v>
      </c>
      <c r="D37" s="3">
        <v>5</v>
      </c>
    </row>
    <row r="38" spans="1:4" x14ac:dyDescent="0.25">
      <c r="A38" s="2">
        <v>34</v>
      </c>
      <c r="B38" s="3">
        <v>1</v>
      </c>
      <c r="C38" s="3"/>
      <c r="D38" s="3">
        <v>1</v>
      </c>
    </row>
    <row r="39" spans="1:4" x14ac:dyDescent="0.25">
      <c r="A39" s="2">
        <v>36</v>
      </c>
      <c r="B39" s="3">
        <v>2</v>
      </c>
      <c r="C39" s="3"/>
      <c r="D39" s="3">
        <v>2</v>
      </c>
    </row>
    <row r="40" spans="1:4" x14ac:dyDescent="0.25">
      <c r="A40" s="2">
        <v>37</v>
      </c>
      <c r="B40" s="3">
        <v>1</v>
      </c>
      <c r="C40" s="3"/>
      <c r="D40" s="3">
        <v>1</v>
      </c>
    </row>
    <row r="41" spans="1:4" x14ac:dyDescent="0.25">
      <c r="A41" s="2">
        <v>40</v>
      </c>
      <c r="B41" s="3"/>
      <c r="C41" s="3">
        <v>1</v>
      </c>
      <c r="D41" s="3">
        <v>1</v>
      </c>
    </row>
    <row r="42" spans="1:4" x14ac:dyDescent="0.25">
      <c r="A42" s="2" t="s">
        <v>66</v>
      </c>
      <c r="B42" s="3">
        <v>1233</v>
      </c>
      <c r="C42" s="3">
        <v>237</v>
      </c>
      <c r="D42" s="3">
        <v>1470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"/>
  <sheetViews>
    <sheetView workbookViewId="0">
      <selection activeCell="B24" sqref="B24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11.42578125" customWidth="1"/>
    <col min="4" max="4" width="16.7109375" customWidth="1"/>
    <col min="5" max="5" width="20.140625" customWidth="1"/>
  </cols>
  <sheetData>
    <row r="3" spans="1:5" x14ac:dyDescent="0.25">
      <c r="A3" s="1" t="s">
        <v>67</v>
      </c>
      <c r="B3" s="1" t="s">
        <v>69</v>
      </c>
      <c r="E3" t="s">
        <v>82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</row>
    <row r="5" spans="1:5" x14ac:dyDescent="0.25">
      <c r="A5" s="2" t="s">
        <v>76</v>
      </c>
      <c r="B5" s="3">
        <v>240</v>
      </c>
      <c r="C5" s="3">
        <v>102</v>
      </c>
      <c r="D5" s="3">
        <v>342</v>
      </c>
      <c r="E5">
        <f>102/342*100/100</f>
        <v>0.2982456140350877</v>
      </c>
    </row>
    <row r="6" spans="1:5" x14ac:dyDescent="0.25">
      <c r="A6" s="2" t="s">
        <v>77</v>
      </c>
      <c r="B6" s="3">
        <v>101</v>
      </c>
      <c r="C6" s="3">
        <v>7</v>
      </c>
      <c r="D6" s="3">
        <v>108</v>
      </c>
      <c r="E6">
        <f>7/108*100/100</f>
        <v>6.4814814814814811E-2</v>
      </c>
    </row>
    <row r="7" spans="1:5" x14ac:dyDescent="0.25">
      <c r="A7" s="2" t="s">
        <v>78</v>
      </c>
      <c r="B7" s="3">
        <v>67</v>
      </c>
      <c r="C7" s="3">
        <v>5</v>
      </c>
      <c r="D7" s="3">
        <v>72</v>
      </c>
      <c r="E7">
        <f>5/72*100/100</f>
        <v>6.9444444444444448E-2</v>
      </c>
    </row>
    <row r="8" spans="1:5" x14ac:dyDescent="0.25">
      <c r="A8" s="2" t="s">
        <v>79</v>
      </c>
      <c r="B8" s="3">
        <v>58</v>
      </c>
      <c r="C8" s="3">
        <v>8</v>
      </c>
      <c r="D8" s="3">
        <v>66</v>
      </c>
      <c r="E8">
        <f>8/66*100/100</f>
        <v>0.12121212121212122</v>
      </c>
    </row>
    <row r="9" spans="1:5" x14ac:dyDescent="0.25">
      <c r="A9" s="2" t="s">
        <v>80</v>
      </c>
      <c r="B9" s="3">
        <v>374</v>
      </c>
      <c r="C9" s="3">
        <v>60</v>
      </c>
      <c r="D9" s="3">
        <v>434</v>
      </c>
      <c r="E9">
        <f>60/434*100/100</f>
        <v>0.13824884792626729</v>
      </c>
    </row>
    <row r="10" spans="1:5" x14ac:dyDescent="0.25">
      <c r="A10" s="2" t="s">
        <v>81</v>
      </c>
      <c r="B10" s="3">
        <v>393</v>
      </c>
      <c r="C10" s="3">
        <v>55</v>
      </c>
      <c r="D10" s="3">
        <v>448</v>
      </c>
      <c r="E10">
        <f>55/448*100/100</f>
        <v>0.12276785714285714</v>
      </c>
    </row>
    <row r="11" spans="1:5" x14ac:dyDescent="0.25">
      <c r="A11" s="2" t="s">
        <v>66</v>
      </c>
      <c r="B11" s="3">
        <v>1233</v>
      </c>
      <c r="C11" s="3">
        <v>237</v>
      </c>
      <c r="D11" s="3">
        <v>1470</v>
      </c>
    </row>
    <row r="18" spans="1:2" x14ac:dyDescent="0.25">
      <c r="A18" t="s">
        <v>106</v>
      </c>
      <c r="B18" t="s">
        <v>74</v>
      </c>
    </row>
    <row r="19" spans="1:2" x14ac:dyDescent="0.25">
      <c r="A19" s="2" t="s">
        <v>76</v>
      </c>
      <c r="B19">
        <f>102/342*100/100</f>
        <v>0.2982456140350877</v>
      </c>
    </row>
    <row r="20" spans="1:2" x14ac:dyDescent="0.25">
      <c r="A20" s="2" t="s">
        <v>77</v>
      </c>
      <c r="B20">
        <f>7/108*100/100</f>
        <v>6.4814814814814811E-2</v>
      </c>
    </row>
    <row r="21" spans="1:2" x14ac:dyDescent="0.25">
      <c r="A21" s="2" t="s">
        <v>78</v>
      </c>
      <c r="B21">
        <f>5/72*100/100</f>
        <v>6.9444444444444448E-2</v>
      </c>
    </row>
    <row r="22" spans="1:2" x14ac:dyDescent="0.25">
      <c r="A22" s="2" t="s">
        <v>79</v>
      </c>
      <c r="B22">
        <f>8/66*100/100</f>
        <v>0.12121212121212122</v>
      </c>
    </row>
    <row r="23" spans="1:2" x14ac:dyDescent="0.25">
      <c r="A23" s="2" t="s">
        <v>80</v>
      </c>
      <c r="B23">
        <f>60/434*100/100</f>
        <v>0.13824884792626729</v>
      </c>
    </row>
    <row r="24" spans="1:2" x14ac:dyDescent="0.25">
      <c r="A24" s="2" t="s">
        <v>81</v>
      </c>
      <c r="B24">
        <f>55/448*100/100</f>
        <v>0.12276785714285714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5" sqref="A5"/>
    </sheetView>
  </sheetViews>
  <sheetFormatPr defaultRowHeight="15" x14ac:dyDescent="0.25"/>
  <cols>
    <col min="1" max="1" width="13.140625" customWidth="1"/>
    <col min="2" max="2" width="25.7109375" bestFit="1" customWidth="1"/>
    <col min="3" max="3" width="22.140625" bestFit="1" customWidth="1"/>
  </cols>
  <sheetData>
    <row r="3" spans="1:2" x14ac:dyDescent="0.25">
      <c r="A3" s="1" t="s">
        <v>65</v>
      </c>
      <c r="B3" t="s">
        <v>83</v>
      </c>
    </row>
    <row r="4" spans="1:2" x14ac:dyDescent="0.25">
      <c r="A4" s="2">
        <v>1</v>
      </c>
      <c r="B4" s="3">
        <v>2786.9152854511972</v>
      </c>
    </row>
    <row r="5" spans="1:2" x14ac:dyDescent="0.25">
      <c r="A5" s="2">
        <v>2</v>
      </c>
      <c r="B5" s="3">
        <v>5502.2771535580523</v>
      </c>
    </row>
    <row r="6" spans="1:2" x14ac:dyDescent="0.25">
      <c r="A6" s="2">
        <v>3</v>
      </c>
      <c r="B6" s="3">
        <v>9817.2522935779816</v>
      </c>
    </row>
    <row r="7" spans="1:2" x14ac:dyDescent="0.25">
      <c r="A7" s="2">
        <v>4</v>
      </c>
      <c r="B7" s="3">
        <v>15503.783018867925</v>
      </c>
    </row>
    <row r="8" spans="1:2" x14ac:dyDescent="0.25">
      <c r="A8" s="2">
        <v>5</v>
      </c>
      <c r="B8" s="3">
        <v>19191.82608695652</v>
      </c>
    </row>
    <row r="9" spans="1:2" x14ac:dyDescent="0.25">
      <c r="A9" s="2" t="s">
        <v>66</v>
      </c>
      <c r="B9" s="3">
        <v>6502.931292517007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B8" sqref="B8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customWidth="1"/>
    <col min="4" max="4" width="11.28515625" bestFit="1" customWidth="1"/>
    <col min="5" max="5" width="19.42578125" customWidth="1"/>
  </cols>
  <sheetData>
    <row r="3" spans="1:5" x14ac:dyDescent="0.25">
      <c r="A3" s="1" t="s">
        <v>67</v>
      </c>
      <c r="B3" s="1" t="s">
        <v>69</v>
      </c>
      <c r="E3" t="s">
        <v>84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</row>
    <row r="5" spans="1:5" x14ac:dyDescent="0.25">
      <c r="A5" s="2">
        <v>1</v>
      </c>
      <c r="B5" s="3">
        <v>400</v>
      </c>
      <c r="C5" s="3">
        <v>143</v>
      </c>
      <c r="D5" s="3">
        <v>543</v>
      </c>
      <c r="E5">
        <f>143/543*100</f>
        <v>26.335174953959484</v>
      </c>
    </row>
    <row r="6" spans="1:5" x14ac:dyDescent="0.25">
      <c r="A6" s="2">
        <v>2</v>
      </c>
      <c r="B6" s="3">
        <v>482</v>
      </c>
      <c r="C6" s="3">
        <v>52</v>
      </c>
      <c r="D6" s="3">
        <v>534</v>
      </c>
      <c r="E6">
        <f>52/ 534*100</f>
        <v>9.7378277153558059</v>
      </c>
    </row>
    <row r="7" spans="1:5" x14ac:dyDescent="0.25">
      <c r="A7" s="2">
        <v>3</v>
      </c>
      <c r="B7" s="3">
        <v>186</v>
      </c>
      <c r="C7" s="3">
        <v>32</v>
      </c>
      <c r="D7" s="3">
        <v>218</v>
      </c>
      <c r="E7">
        <f>32/218*100</f>
        <v>14.678899082568808</v>
      </c>
    </row>
    <row r="8" spans="1:5" x14ac:dyDescent="0.25">
      <c r="A8" s="2">
        <v>4</v>
      </c>
      <c r="B8" s="3">
        <v>101</v>
      </c>
      <c r="C8" s="3">
        <v>5</v>
      </c>
      <c r="D8" s="3">
        <v>106</v>
      </c>
      <c r="E8">
        <f>5/106*100</f>
        <v>4.716981132075472</v>
      </c>
    </row>
    <row r="9" spans="1:5" x14ac:dyDescent="0.25">
      <c r="A9" s="2">
        <v>5</v>
      </c>
      <c r="B9" s="3">
        <v>64</v>
      </c>
      <c r="C9" s="3">
        <v>5</v>
      </c>
      <c r="D9" s="3">
        <v>69</v>
      </c>
      <c r="E9">
        <f>5/69*100</f>
        <v>7.2463768115942031</v>
      </c>
    </row>
    <row r="10" spans="1:5" x14ac:dyDescent="0.25">
      <c r="A10" s="2" t="s">
        <v>66</v>
      </c>
      <c r="B10" s="3">
        <v>1233</v>
      </c>
      <c r="C10" s="3">
        <v>237</v>
      </c>
      <c r="D10" s="3">
        <v>1470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"/>
  <sheetViews>
    <sheetView workbookViewId="0">
      <selection activeCell="A4" sqref="A4:D21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1" t="s">
        <v>67</v>
      </c>
      <c r="B3" s="1" t="s">
        <v>69</v>
      </c>
    </row>
    <row r="4" spans="1:4" x14ac:dyDescent="0.25">
      <c r="A4" s="1" t="s">
        <v>65</v>
      </c>
      <c r="B4" t="s">
        <v>43</v>
      </c>
      <c r="C4" t="s">
        <v>35</v>
      </c>
      <c r="D4" t="s">
        <v>66</v>
      </c>
    </row>
    <row r="5" spans="1:4" x14ac:dyDescent="0.25">
      <c r="A5" s="2">
        <v>0</v>
      </c>
      <c r="B5" s="3">
        <v>471</v>
      </c>
      <c r="C5" s="3">
        <v>110</v>
      </c>
      <c r="D5" s="3">
        <v>581</v>
      </c>
    </row>
    <row r="6" spans="1:4" x14ac:dyDescent="0.25">
      <c r="A6" s="2">
        <v>1</v>
      </c>
      <c r="B6" s="3">
        <v>308</v>
      </c>
      <c r="C6" s="3">
        <v>49</v>
      </c>
      <c r="D6" s="3">
        <v>357</v>
      </c>
    </row>
    <row r="7" spans="1:4" x14ac:dyDescent="0.25">
      <c r="A7" s="2">
        <v>2</v>
      </c>
      <c r="B7" s="3">
        <v>132</v>
      </c>
      <c r="C7" s="3">
        <v>27</v>
      </c>
      <c r="D7" s="3">
        <v>159</v>
      </c>
    </row>
    <row r="8" spans="1:4" x14ac:dyDescent="0.25">
      <c r="A8" s="2">
        <v>3</v>
      </c>
      <c r="B8" s="3">
        <v>43</v>
      </c>
      <c r="C8" s="3">
        <v>9</v>
      </c>
      <c r="D8" s="3">
        <v>52</v>
      </c>
    </row>
    <row r="9" spans="1:4" x14ac:dyDescent="0.25">
      <c r="A9" s="2">
        <v>4</v>
      </c>
      <c r="B9" s="3">
        <v>56</v>
      </c>
      <c r="C9" s="3">
        <v>5</v>
      </c>
      <c r="D9" s="3">
        <v>61</v>
      </c>
    </row>
    <row r="10" spans="1:4" x14ac:dyDescent="0.25">
      <c r="A10" s="2">
        <v>5</v>
      </c>
      <c r="B10" s="3">
        <v>43</v>
      </c>
      <c r="C10" s="3">
        <v>2</v>
      </c>
      <c r="D10" s="3">
        <v>45</v>
      </c>
    </row>
    <row r="11" spans="1:4" x14ac:dyDescent="0.25">
      <c r="A11" s="2">
        <v>6</v>
      </c>
      <c r="B11" s="3">
        <v>26</v>
      </c>
      <c r="C11" s="3">
        <v>6</v>
      </c>
      <c r="D11" s="3">
        <v>32</v>
      </c>
    </row>
    <row r="12" spans="1:4" x14ac:dyDescent="0.25">
      <c r="A12" s="2">
        <v>7</v>
      </c>
      <c r="B12" s="3">
        <v>60</v>
      </c>
      <c r="C12" s="3">
        <v>16</v>
      </c>
      <c r="D12" s="3">
        <v>76</v>
      </c>
    </row>
    <row r="13" spans="1:4" x14ac:dyDescent="0.25">
      <c r="A13" s="2">
        <v>8</v>
      </c>
      <c r="B13" s="3">
        <v>18</v>
      </c>
      <c r="C13" s="3"/>
      <c r="D13" s="3">
        <v>18</v>
      </c>
    </row>
    <row r="14" spans="1:4" x14ac:dyDescent="0.25">
      <c r="A14" s="2">
        <v>9</v>
      </c>
      <c r="B14" s="3">
        <v>13</v>
      </c>
      <c r="C14" s="3">
        <v>4</v>
      </c>
      <c r="D14" s="3">
        <v>17</v>
      </c>
    </row>
    <row r="15" spans="1:4" x14ac:dyDescent="0.25">
      <c r="A15" s="2">
        <v>10</v>
      </c>
      <c r="B15" s="3">
        <v>5</v>
      </c>
      <c r="C15" s="3">
        <v>1</v>
      </c>
      <c r="D15" s="3">
        <v>6</v>
      </c>
    </row>
    <row r="16" spans="1:4" x14ac:dyDescent="0.25">
      <c r="A16" s="2">
        <v>11</v>
      </c>
      <c r="B16" s="3">
        <v>22</v>
      </c>
      <c r="C16" s="3">
        <v>2</v>
      </c>
      <c r="D16" s="3">
        <v>24</v>
      </c>
    </row>
    <row r="17" spans="1:4" x14ac:dyDescent="0.25">
      <c r="A17" s="2">
        <v>12</v>
      </c>
      <c r="B17" s="3">
        <v>10</v>
      </c>
      <c r="C17" s="3"/>
      <c r="D17" s="3">
        <v>10</v>
      </c>
    </row>
    <row r="18" spans="1:4" x14ac:dyDescent="0.25">
      <c r="A18" s="2">
        <v>13</v>
      </c>
      <c r="B18" s="3">
        <v>8</v>
      </c>
      <c r="C18" s="3">
        <v>2</v>
      </c>
      <c r="D18" s="3">
        <v>10</v>
      </c>
    </row>
    <row r="19" spans="1:4" x14ac:dyDescent="0.25">
      <c r="A19" s="2">
        <v>14</v>
      </c>
      <c r="B19" s="3">
        <v>8</v>
      </c>
      <c r="C19" s="3">
        <v>1</v>
      </c>
      <c r="D19" s="3">
        <v>9</v>
      </c>
    </row>
    <row r="20" spans="1:4" x14ac:dyDescent="0.25">
      <c r="A20" s="2">
        <v>15</v>
      </c>
      <c r="B20" s="3">
        <v>10</v>
      </c>
      <c r="C20" s="3">
        <v>3</v>
      </c>
      <c r="D20" s="3">
        <v>13</v>
      </c>
    </row>
    <row r="21" spans="1:4" x14ac:dyDescent="0.25">
      <c r="A21" s="2" t="s">
        <v>66</v>
      </c>
      <c r="B21" s="3">
        <v>1233</v>
      </c>
      <c r="C21" s="3">
        <v>237</v>
      </c>
      <c r="D21" s="3">
        <v>1470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zoomScale="130" zoomScaleNormal="130" workbookViewId="0">
      <selection activeCell="A7" sqref="A5:A8"/>
      <pivotSelection pane="bottomRight" showHeader="1" axis="axisRow" activeRow="6" previousRow="6" click="1" r:id="rId1">
        <pivotArea dataOnly="0" labelOnly="1" fieldPosition="0">
          <references count="1">
            <reference field="39" count="0"/>
          </references>
        </pivotArea>
      </pivotSelection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customWidth="1"/>
    <col min="4" max="4" width="11.28515625" bestFit="1" customWidth="1"/>
    <col min="5" max="5" width="28.85546875" customWidth="1"/>
  </cols>
  <sheetData>
    <row r="3" spans="1:5" x14ac:dyDescent="0.25">
      <c r="A3" s="1" t="s">
        <v>67</v>
      </c>
      <c r="B3" s="1" t="s">
        <v>69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  <c r="E4" t="s">
        <v>86</v>
      </c>
    </row>
    <row r="5" spans="1:5" x14ac:dyDescent="0.25">
      <c r="A5" s="2" t="s">
        <v>76</v>
      </c>
      <c r="B5" s="3">
        <v>911</v>
      </c>
      <c r="C5" s="3">
        <v>186</v>
      </c>
      <c r="D5" s="3">
        <v>1097</v>
      </c>
      <c r="E5">
        <f>186/1097*100/100</f>
        <v>0.16955332725615319</v>
      </c>
    </row>
    <row r="6" spans="1:5" x14ac:dyDescent="0.25">
      <c r="A6" s="2" t="s">
        <v>77</v>
      </c>
      <c r="B6" s="3">
        <v>58</v>
      </c>
      <c r="C6" s="3">
        <v>8</v>
      </c>
      <c r="D6" s="3">
        <v>66</v>
      </c>
      <c r="E6">
        <f>8/66*100/100</f>
        <v>0.12121212121212122</v>
      </c>
    </row>
    <row r="7" spans="1:5" x14ac:dyDescent="0.25">
      <c r="A7" s="2" t="s">
        <v>80</v>
      </c>
      <c r="B7" s="3">
        <v>142</v>
      </c>
      <c r="C7" s="3">
        <v>16</v>
      </c>
      <c r="D7" s="3">
        <v>158</v>
      </c>
      <c r="E7">
        <f>16/158*100/100</f>
        <v>0.10126582278481014</v>
      </c>
    </row>
    <row r="8" spans="1:5" x14ac:dyDescent="0.25">
      <c r="A8" s="2" t="s">
        <v>81</v>
      </c>
      <c r="B8" s="3">
        <v>122</v>
      </c>
      <c r="C8" s="3">
        <v>27</v>
      </c>
      <c r="D8" s="3">
        <v>149</v>
      </c>
      <c r="E8">
        <f>27/149*100/100</f>
        <v>0.18120805369127516</v>
      </c>
    </row>
    <row r="9" spans="1:5" x14ac:dyDescent="0.25">
      <c r="A9" s="2" t="s">
        <v>66</v>
      </c>
      <c r="B9" s="3">
        <v>1233</v>
      </c>
      <c r="C9" s="3">
        <v>237</v>
      </c>
      <c r="D9" s="3">
        <v>1470</v>
      </c>
    </row>
    <row r="14" spans="1:5" x14ac:dyDescent="0.25">
      <c r="A14" t="s">
        <v>85</v>
      </c>
      <c r="B14" t="s">
        <v>74</v>
      </c>
    </row>
    <row r="15" spans="1:5" x14ac:dyDescent="0.25">
      <c r="A15" s="2" t="s">
        <v>76</v>
      </c>
      <c r="B15">
        <f>186/1097*100/100</f>
        <v>0.16955332725615319</v>
      </c>
    </row>
    <row r="16" spans="1:5" x14ac:dyDescent="0.25">
      <c r="A16" s="2" t="s">
        <v>77</v>
      </c>
      <c r="B16">
        <f>8/66*100/100</f>
        <v>0.12121212121212122</v>
      </c>
    </row>
    <row r="17" spans="1:2" x14ac:dyDescent="0.25">
      <c r="A17" s="2" t="s">
        <v>80</v>
      </c>
      <c r="B17">
        <f>16/158*100/100</f>
        <v>0.10126582278481014</v>
      </c>
    </row>
    <row r="18" spans="1:2" x14ac:dyDescent="0.25">
      <c r="A18" s="2" t="s">
        <v>81</v>
      </c>
      <c r="B18">
        <f>27/149*100/100</f>
        <v>0.18120805369127516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workbookViewId="0">
      <selection activeCell="A12" sqref="A12:B15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14" customWidth="1"/>
    <col min="4" max="4" width="11.28515625" bestFit="1" customWidth="1"/>
    <col min="5" max="5" width="21.28515625" customWidth="1"/>
  </cols>
  <sheetData>
    <row r="3" spans="1:5" x14ac:dyDescent="0.25">
      <c r="A3" s="1" t="s">
        <v>67</v>
      </c>
      <c r="B3" s="1" t="s">
        <v>69</v>
      </c>
      <c r="E3" t="s">
        <v>87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</row>
    <row r="5" spans="1:5" x14ac:dyDescent="0.25">
      <c r="A5" s="2" t="s">
        <v>55</v>
      </c>
      <c r="B5" s="3">
        <v>138</v>
      </c>
      <c r="C5" s="3">
        <v>12</v>
      </c>
      <c r="D5" s="3">
        <v>150</v>
      </c>
      <c r="E5">
        <f>12/150*100/100</f>
        <v>0.08</v>
      </c>
    </row>
    <row r="6" spans="1:5" x14ac:dyDescent="0.25">
      <c r="A6" s="2" t="s">
        <v>44</v>
      </c>
      <c r="B6" s="3">
        <v>208</v>
      </c>
      <c r="C6" s="3">
        <v>69</v>
      </c>
      <c r="D6" s="3">
        <v>277</v>
      </c>
      <c r="E6">
        <f>69/277*100/100</f>
        <v>0.24909747292418771</v>
      </c>
    </row>
    <row r="7" spans="1:5" x14ac:dyDescent="0.25">
      <c r="A7" s="2" t="s">
        <v>36</v>
      </c>
      <c r="B7" s="3">
        <v>887</v>
      </c>
      <c r="C7" s="3">
        <v>156</v>
      </c>
      <c r="D7" s="3">
        <v>1043</v>
      </c>
      <c r="E7">
        <f>156/1043*100/100</f>
        <v>0.14956855225311602</v>
      </c>
    </row>
    <row r="8" spans="1:5" x14ac:dyDescent="0.25">
      <c r="A8" s="2" t="s">
        <v>66</v>
      </c>
      <c r="B8" s="3">
        <v>1233</v>
      </c>
      <c r="C8" s="3">
        <v>237</v>
      </c>
      <c r="D8" s="3">
        <v>1470</v>
      </c>
    </row>
    <row r="12" spans="1:5" x14ac:dyDescent="0.25">
      <c r="A12" t="s">
        <v>104</v>
      </c>
      <c r="B12" t="s">
        <v>74</v>
      </c>
    </row>
    <row r="13" spans="1:5" x14ac:dyDescent="0.25">
      <c r="A13" s="2" t="s">
        <v>55</v>
      </c>
      <c r="B13">
        <f>12/150*100/100</f>
        <v>0.08</v>
      </c>
    </row>
    <row r="14" spans="1:5" x14ac:dyDescent="0.25">
      <c r="A14" s="2" t="s">
        <v>44</v>
      </c>
      <c r="B14">
        <f>69/277*100/100</f>
        <v>0.24909747292418771</v>
      </c>
    </row>
    <row r="15" spans="1:5" x14ac:dyDescent="0.25">
      <c r="A15" s="2" t="s">
        <v>36</v>
      </c>
      <c r="B15">
        <f>156/1043*100/100</f>
        <v>0.14956855225311602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zoomScale="115" zoomScaleNormal="115" workbookViewId="0">
      <selection activeCell="A15" sqref="A15:B20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12.28515625" customWidth="1"/>
    <col min="4" max="4" width="11.28515625" bestFit="1" customWidth="1"/>
    <col min="5" max="5" width="28.5703125" customWidth="1"/>
  </cols>
  <sheetData>
    <row r="3" spans="1:5" x14ac:dyDescent="0.25">
      <c r="A3" s="1" t="s">
        <v>67</v>
      </c>
      <c r="B3" s="1" t="s">
        <v>69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  <c r="E4" t="s">
        <v>94</v>
      </c>
    </row>
    <row r="5" spans="1:5" x14ac:dyDescent="0.25">
      <c r="A5" s="2" t="s">
        <v>89</v>
      </c>
      <c r="B5" s="3">
        <v>79</v>
      </c>
      <c r="C5" s="3">
        <v>44</v>
      </c>
      <c r="D5" s="3">
        <v>123</v>
      </c>
      <c r="E5">
        <f>44/123*100/100</f>
        <v>0.35772357723577236</v>
      </c>
    </row>
    <row r="6" spans="1:5" x14ac:dyDescent="0.25">
      <c r="A6" s="2" t="s">
        <v>90</v>
      </c>
      <c r="B6" s="3">
        <v>490</v>
      </c>
      <c r="C6" s="3">
        <v>116</v>
      </c>
      <c r="D6" s="3">
        <v>606</v>
      </c>
      <c r="E6">
        <f>116/606*100/100</f>
        <v>0.19141914191419143</v>
      </c>
    </row>
    <row r="7" spans="1:5" x14ac:dyDescent="0.25">
      <c r="A7" s="2" t="s">
        <v>91</v>
      </c>
      <c r="B7" s="3">
        <v>425</v>
      </c>
      <c r="C7" s="3">
        <v>43</v>
      </c>
      <c r="D7" s="3">
        <v>468</v>
      </c>
      <c r="E7">
        <f>43/468*100/100</f>
        <v>9.1880341880341887E-2</v>
      </c>
    </row>
    <row r="8" spans="1:5" x14ac:dyDescent="0.25">
      <c r="A8" s="2" t="s">
        <v>92</v>
      </c>
      <c r="B8" s="3">
        <v>200</v>
      </c>
      <c r="C8" s="3">
        <v>26</v>
      </c>
      <c r="D8" s="3">
        <v>226</v>
      </c>
      <c r="E8">
        <f>26/226*100/100</f>
        <v>0.11504424778761062</v>
      </c>
    </row>
    <row r="9" spans="1:5" x14ac:dyDescent="0.25">
      <c r="A9" s="2" t="s">
        <v>93</v>
      </c>
      <c r="B9" s="3">
        <v>39</v>
      </c>
      <c r="C9" s="3">
        <v>8</v>
      </c>
      <c r="D9" s="3">
        <v>47</v>
      </c>
      <c r="E9">
        <f>8/47*100/100</f>
        <v>0.1702127659574468</v>
      </c>
    </row>
    <row r="10" spans="1:5" x14ac:dyDescent="0.25">
      <c r="A10" s="2" t="s">
        <v>66</v>
      </c>
      <c r="B10" s="3">
        <v>1233</v>
      </c>
      <c r="C10" s="3">
        <v>237</v>
      </c>
      <c r="D10" s="3">
        <v>1470</v>
      </c>
    </row>
    <row r="15" spans="1:5" x14ac:dyDescent="0.25">
      <c r="A15" t="s">
        <v>103</v>
      </c>
      <c r="B15" t="s">
        <v>74</v>
      </c>
    </row>
    <row r="16" spans="1:5" x14ac:dyDescent="0.25">
      <c r="A16" s="2" t="s">
        <v>89</v>
      </c>
      <c r="B16">
        <f>44/123*100/100</f>
        <v>0.35772357723577236</v>
      </c>
    </row>
    <row r="17" spans="1:2" x14ac:dyDescent="0.25">
      <c r="A17" s="2" t="s">
        <v>90</v>
      </c>
      <c r="B17">
        <f>116/606*100/100</f>
        <v>0.19141914191419143</v>
      </c>
    </row>
    <row r="18" spans="1:2" x14ac:dyDescent="0.25">
      <c r="A18" s="2" t="s">
        <v>91</v>
      </c>
      <c r="B18">
        <f>43/468*100/100</f>
        <v>9.1880341880341887E-2</v>
      </c>
    </row>
    <row r="19" spans="1:2" x14ac:dyDescent="0.25">
      <c r="A19" s="2" t="s">
        <v>92</v>
      </c>
      <c r="B19">
        <f>26/226*100/100</f>
        <v>0.11504424778761062</v>
      </c>
    </row>
    <row r="20" spans="1:2" x14ac:dyDescent="0.25">
      <c r="A20" s="2" t="s">
        <v>93</v>
      </c>
      <c r="B20">
        <f>8/47*100/100</f>
        <v>0.1702127659574468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workbookViewId="0">
      <selection activeCell="A15" sqref="A15:B19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9.28515625" customWidth="1"/>
    <col min="4" max="4" width="11.28515625" bestFit="1" customWidth="1"/>
    <col min="5" max="5" width="20.5703125" customWidth="1"/>
  </cols>
  <sheetData>
    <row r="3" spans="1:5" x14ac:dyDescent="0.25">
      <c r="A3" s="1" t="s">
        <v>67</v>
      </c>
      <c r="B3" s="1" t="s">
        <v>69</v>
      </c>
    </row>
    <row r="4" spans="1:5" x14ac:dyDescent="0.25">
      <c r="A4" s="1" t="s">
        <v>65</v>
      </c>
      <c r="B4" t="s">
        <v>43</v>
      </c>
      <c r="C4" t="s">
        <v>35</v>
      </c>
      <c r="D4" t="s">
        <v>66</v>
      </c>
      <c r="E4" t="s">
        <v>82</v>
      </c>
    </row>
    <row r="5" spans="1:5" x14ac:dyDescent="0.25">
      <c r="A5" s="2">
        <v>1</v>
      </c>
      <c r="B5" s="3">
        <v>55</v>
      </c>
      <c r="C5" s="3">
        <v>25</v>
      </c>
      <c r="D5" s="3">
        <v>80</v>
      </c>
      <c r="E5">
        <f>25/80*100/100</f>
        <v>0.3125</v>
      </c>
    </row>
    <row r="6" spans="1:5" x14ac:dyDescent="0.25">
      <c r="A6" s="2">
        <v>2</v>
      </c>
      <c r="B6" s="3">
        <v>286</v>
      </c>
      <c r="C6" s="3">
        <v>58</v>
      </c>
      <c r="D6" s="3">
        <v>344</v>
      </c>
      <c r="E6">
        <f>58/344*100/100</f>
        <v>0.16860465116279069</v>
      </c>
    </row>
    <row r="7" spans="1:5" x14ac:dyDescent="0.25">
      <c r="A7" s="2">
        <v>3</v>
      </c>
      <c r="B7" s="3">
        <v>766</v>
      </c>
      <c r="C7" s="3">
        <v>127</v>
      </c>
      <c r="D7" s="3">
        <v>893</v>
      </c>
      <c r="E7">
        <f>127/893*100/100</f>
        <v>0.14221724524076149</v>
      </c>
    </row>
    <row r="8" spans="1:5" x14ac:dyDescent="0.25">
      <c r="A8" s="2">
        <v>4</v>
      </c>
      <c r="B8" s="3">
        <v>126</v>
      </c>
      <c r="C8" s="3">
        <v>27</v>
      </c>
      <c r="D8" s="3">
        <v>153</v>
      </c>
      <c r="E8">
        <f>27/153*100/100</f>
        <v>0.17647058823529413</v>
      </c>
    </row>
    <row r="9" spans="1:5" x14ac:dyDescent="0.25">
      <c r="A9" s="2" t="s">
        <v>66</v>
      </c>
      <c r="B9" s="3">
        <v>1233</v>
      </c>
      <c r="C9" s="3">
        <v>237</v>
      </c>
      <c r="D9" s="3">
        <v>1470</v>
      </c>
    </row>
    <row r="15" spans="1:5" x14ac:dyDescent="0.25">
      <c r="A15" t="s">
        <v>105</v>
      </c>
      <c r="B15" t="s">
        <v>100</v>
      </c>
    </row>
    <row r="16" spans="1:5" x14ac:dyDescent="0.25">
      <c r="A16" s="2">
        <v>1</v>
      </c>
      <c r="B16">
        <f>25/80*100/100</f>
        <v>0.3125</v>
      </c>
    </row>
    <row r="17" spans="1:2" x14ac:dyDescent="0.25">
      <c r="A17" s="2">
        <v>2</v>
      </c>
      <c r="B17">
        <f>58/344*100/100</f>
        <v>0.16860465116279069</v>
      </c>
    </row>
    <row r="18" spans="1:2" x14ac:dyDescent="0.25">
      <c r="A18" s="2">
        <v>3</v>
      </c>
      <c r="B18">
        <f>127/893*100/100</f>
        <v>0.14221724524076149</v>
      </c>
    </row>
    <row r="19" spans="1:2" x14ac:dyDescent="0.25">
      <c r="A19" s="2">
        <v>4</v>
      </c>
      <c r="B19">
        <f>27/153*100/100</f>
        <v>0.17647058823529413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tabSelected="1" topLeftCell="A43" zoomScale="115" zoomScaleNormal="115" workbookViewId="0">
      <selection activeCell="F56" sqref="F56"/>
    </sheetView>
  </sheetViews>
  <sheetFormatPr defaultRowHeight="15" x14ac:dyDescent="0.25"/>
  <cols>
    <col min="1" max="1" width="6.85546875" customWidth="1"/>
    <col min="2" max="2" width="26.42578125" customWidth="1"/>
    <col min="3" max="3" width="14.28515625" customWidth="1"/>
    <col min="4" max="4" width="22" customWidth="1"/>
    <col min="5" max="5" width="11.140625" customWidth="1"/>
    <col min="6" max="6" width="26.85546875" customWidth="1"/>
    <col min="7" max="7" width="12.42578125" customWidth="1"/>
    <col min="8" max="8" width="23" customWidth="1"/>
    <col min="9" max="9" width="18.140625" customWidth="1"/>
  </cols>
  <sheetData>
    <row r="1" spans="2:9" ht="33.75" x14ac:dyDescent="0.5">
      <c r="D1" s="10" t="s">
        <v>108</v>
      </c>
    </row>
    <row r="4" spans="2:9" ht="21" x14ac:dyDescent="0.35">
      <c r="B4" s="8" t="s">
        <v>95</v>
      </c>
      <c r="D4" s="7" t="s">
        <v>96</v>
      </c>
      <c r="F4" s="7" t="s">
        <v>97</v>
      </c>
      <c r="H4" s="7" t="s">
        <v>98</v>
      </c>
    </row>
    <row r="5" spans="2:9" ht="21" x14ac:dyDescent="0.35">
      <c r="B5" s="4">
        <v>1470</v>
      </c>
      <c r="D5" s="5">
        <v>237</v>
      </c>
      <c r="F5" s="5">
        <v>1233</v>
      </c>
      <c r="H5" s="6">
        <v>0.16120000000000001</v>
      </c>
    </row>
    <row r="7" spans="2:9" x14ac:dyDescent="0.25">
      <c r="H7" t="s">
        <v>104</v>
      </c>
      <c r="I7" t="s">
        <v>74</v>
      </c>
    </row>
    <row r="8" spans="2:9" x14ac:dyDescent="0.25">
      <c r="B8" s="2" t="s">
        <v>4</v>
      </c>
      <c r="C8" t="s">
        <v>74</v>
      </c>
      <c r="E8" t="s">
        <v>101</v>
      </c>
      <c r="F8" t="s">
        <v>100</v>
      </c>
      <c r="H8" s="2" t="s">
        <v>55</v>
      </c>
      <c r="I8" s="9">
        <f>12/150*100/100</f>
        <v>0.08</v>
      </c>
    </row>
    <row r="9" spans="2:9" x14ac:dyDescent="0.25">
      <c r="B9" s="2" t="s">
        <v>61</v>
      </c>
      <c r="C9" s="9">
        <f>12/63*100/100</f>
        <v>0.19047619047619047</v>
      </c>
      <c r="E9" t="s">
        <v>43</v>
      </c>
      <c r="F9" s="9">
        <f>110/1054*100/100</f>
        <v>0.10436432637571158</v>
      </c>
      <c r="H9" s="2" t="s">
        <v>44</v>
      </c>
      <c r="I9" s="9">
        <f>69/277*100/100</f>
        <v>0.24909747292418771</v>
      </c>
    </row>
    <row r="10" spans="2:9" x14ac:dyDescent="0.25">
      <c r="B10" s="2" t="s">
        <v>45</v>
      </c>
      <c r="C10" s="9">
        <f>133/961*100/100</f>
        <v>0.13839750260145681</v>
      </c>
      <c r="E10" t="s">
        <v>35</v>
      </c>
      <c r="F10" s="9">
        <f>127/416*100/100</f>
        <v>0.30528846153846156</v>
      </c>
      <c r="H10" s="2" t="s">
        <v>36</v>
      </c>
      <c r="I10" s="9">
        <f>156/1043*100/100</f>
        <v>0.14956855225311602</v>
      </c>
    </row>
    <row r="11" spans="2:9" x14ac:dyDescent="0.25">
      <c r="B11" s="2" t="s">
        <v>37</v>
      </c>
      <c r="C11" s="9">
        <f>92/446*100/100</f>
        <v>0.20627802690582961</v>
      </c>
    </row>
    <row r="23" spans="2:9" x14ac:dyDescent="0.25">
      <c r="B23" t="s">
        <v>103</v>
      </c>
      <c r="C23" t="s">
        <v>74</v>
      </c>
      <c r="E23" t="s">
        <v>106</v>
      </c>
      <c r="F23" s="9" t="s">
        <v>74</v>
      </c>
      <c r="H23" t="s">
        <v>105</v>
      </c>
      <c r="I23" t="s">
        <v>100</v>
      </c>
    </row>
    <row r="24" spans="2:9" x14ac:dyDescent="0.25">
      <c r="B24" s="2" t="s">
        <v>89</v>
      </c>
      <c r="C24" s="9">
        <f>44/123*100/100</f>
        <v>0.35772357723577236</v>
      </c>
      <c r="E24" s="2" t="s">
        <v>76</v>
      </c>
      <c r="F24" s="9">
        <f>102/342*100/100</f>
        <v>0.2982456140350877</v>
      </c>
      <c r="H24" s="2">
        <v>1</v>
      </c>
      <c r="I24" s="9">
        <f>25/80*100/100</f>
        <v>0.3125</v>
      </c>
    </row>
    <row r="25" spans="2:9" x14ac:dyDescent="0.25">
      <c r="B25" s="2" t="s">
        <v>90</v>
      </c>
      <c r="C25" s="9">
        <f>116/606*100/100</f>
        <v>0.19141914191419143</v>
      </c>
      <c r="E25" s="2" t="s">
        <v>80</v>
      </c>
      <c r="F25" s="9">
        <f>60/434*100/100</f>
        <v>0.13824884792626729</v>
      </c>
      <c r="H25" s="2">
        <v>2</v>
      </c>
      <c r="I25" s="9">
        <f>58/344*100/100</f>
        <v>0.16860465116279069</v>
      </c>
    </row>
    <row r="26" spans="2:9" x14ac:dyDescent="0.25">
      <c r="B26" s="2" t="s">
        <v>91</v>
      </c>
      <c r="C26" s="9">
        <f>43/468*100/100</f>
        <v>9.1880341880341887E-2</v>
      </c>
      <c r="E26" s="2" t="s">
        <v>81</v>
      </c>
      <c r="F26" s="9">
        <f>55/448*100/100</f>
        <v>0.12276785714285714</v>
      </c>
      <c r="H26" s="2">
        <v>3</v>
      </c>
      <c r="I26" s="9">
        <f>127/893*100/100</f>
        <v>0.14221724524076149</v>
      </c>
    </row>
    <row r="27" spans="2:9" x14ac:dyDescent="0.25">
      <c r="B27" s="2" t="s">
        <v>92</v>
      </c>
      <c r="C27" s="9">
        <f>26/226*100/100</f>
        <v>0.11504424778761062</v>
      </c>
      <c r="E27" s="2" t="s">
        <v>77</v>
      </c>
      <c r="F27" s="9">
        <f>7/108*100/100</f>
        <v>6.4814814814814811E-2</v>
      </c>
      <c r="H27" s="2">
        <v>4</v>
      </c>
      <c r="I27" s="9">
        <f>27/153*100/100</f>
        <v>0.17647058823529413</v>
      </c>
    </row>
    <row r="28" spans="2:9" x14ac:dyDescent="0.25">
      <c r="B28" s="2" t="s">
        <v>93</v>
      </c>
      <c r="C28" s="9">
        <f>8/47*100/100</f>
        <v>0.1702127659574468</v>
      </c>
      <c r="E28" s="2" t="s">
        <v>78</v>
      </c>
      <c r="F28" s="9">
        <v>6.9400000000000003E-2</v>
      </c>
    </row>
    <row r="29" spans="2:9" x14ac:dyDescent="0.25">
      <c r="E29" s="2" t="s">
        <v>107</v>
      </c>
      <c r="F29" s="9">
        <v>0.1212</v>
      </c>
    </row>
    <row r="43" spans="2:3" x14ac:dyDescent="0.25">
      <c r="B43" t="s">
        <v>4</v>
      </c>
      <c r="C43" t="s">
        <v>100</v>
      </c>
    </row>
    <row r="44" spans="2:3" x14ac:dyDescent="0.25">
      <c r="B44" s="2" t="s">
        <v>54</v>
      </c>
      <c r="C44" s="9">
        <f>9/131*100/100</f>
        <v>6.8702290076335881E-2</v>
      </c>
    </row>
    <row r="45" spans="2:3" x14ac:dyDescent="0.25">
      <c r="B45" s="2" t="s">
        <v>61</v>
      </c>
      <c r="C45" s="9">
        <f>12/52*100/100</f>
        <v>0.23076923076923075</v>
      </c>
    </row>
    <row r="46" spans="2:3" x14ac:dyDescent="0.25">
      <c r="B46" s="2" t="s">
        <v>50</v>
      </c>
      <c r="C46" s="9">
        <f>62/259*100/100</f>
        <v>0.23938223938223938</v>
      </c>
    </row>
    <row r="47" spans="2:3" x14ac:dyDescent="0.25">
      <c r="B47" s="2" t="s">
        <v>56</v>
      </c>
      <c r="C47" s="9">
        <f>5/102*100/100</f>
        <v>4.9019607843137261E-2</v>
      </c>
    </row>
    <row r="48" spans="2:3" x14ac:dyDescent="0.25">
      <c r="B48" s="2" t="s">
        <v>53</v>
      </c>
      <c r="C48" s="9">
        <f>10/145*100/100</f>
        <v>6.8965517241379309E-2</v>
      </c>
    </row>
    <row r="49" spans="2:3" x14ac:dyDescent="0.25">
      <c r="B49" s="2" t="s">
        <v>58</v>
      </c>
      <c r="C49" s="9">
        <f>2/80*100/100</f>
        <v>2.5000000000000001E-2</v>
      </c>
    </row>
    <row r="50" spans="2:3" x14ac:dyDescent="0.25">
      <c r="B50" s="2" t="s">
        <v>47</v>
      </c>
      <c r="C50" s="9">
        <f>47/297*100/100</f>
        <v>0.15824915824915825</v>
      </c>
    </row>
    <row r="51" spans="2:3" x14ac:dyDescent="0.25">
      <c r="B51" s="2" t="s">
        <v>40</v>
      </c>
      <c r="C51" s="9">
        <f>57/326*100/100</f>
        <v>0.17484662576687116</v>
      </c>
    </row>
    <row r="52" spans="2:3" x14ac:dyDescent="0.25">
      <c r="B52" s="2" t="s">
        <v>57</v>
      </c>
      <c r="C52" s="9">
        <f>33/83*100/100</f>
        <v>0.39759036144578308</v>
      </c>
    </row>
  </sheetData>
  <pageMargins left="0.7" right="0.7" top="0.75" bottom="0.75" header="0.3" footer="0.3"/>
  <pageSetup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71"/>
  <sheetViews>
    <sheetView zoomScaleNormal="100" workbookViewId="0"/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  <col min="36" max="36" width="22.42578125" customWidth="1"/>
    <col min="37" max="37" width="24.5703125" customWidth="1"/>
    <col min="38" max="38" width="21.28515625" customWidth="1"/>
    <col min="39" max="39" width="16.85546875" customWidth="1"/>
    <col min="40" max="40" width="18" customWidth="1"/>
    <col min="41" max="41" width="15.140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75</v>
      </c>
      <c r="AN1" t="s">
        <v>85</v>
      </c>
      <c r="AO1" t="s">
        <v>88</v>
      </c>
    </row>
    <row r="2" spans="1:41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COUNTIFS($A$2:$A$1471,A2,$B$2:$B$1471,B2,$C$2:$C$1471,C2,$D$2:$D$1471,D2,$E$2:$E$1471,E2,$F$2:$F$1471,F2,$G$2:$G$1471,G2,$H$2:$H$1471,H2,$I$2:$I$1471,I2,$J$2:$J$1471,J2,$K$2:$K$1471,K2,$L$2:$L$1471,L2,$M$2:$M$1471,M2,$N$2:$N$1471,N2,$O$2:$O$1471,O2,$P$2:$P$1471,P2,$Q$2:$Q$1471,Q2,$R$2:$R$1471,R2,$S$2:$S$1471,S2,$T$2:$T$1471,T2,$U$2:$U$1471,U2,$V$2:$V$1471,V2,$W$2:$W$1471,W2,$X$2:$X$1471,X2,$Y$2:$Y$1471,Y2,$Z$2:$Z$1471,Z2,$AA$2:$AA$1471,AA2,$AB$2:$AB$1471,AB2,$AC$2:$AC$1471,AC2,$AD$2:$AD$1471,AD2,$AE$2:$AE$1471,AE2,$AF$2:$AF$1471,AF2,$AG$2:$AG$1471,AG2,$AH$2:$AH$1471,AH2,$AI$2:$AI$1471,AI2)</f>
        <v>1</v>
      </c>
      <c r="AK2" t="str">
        <f>A2&amp;"_"&amp;E2&amp;"_"&amp;P2</f>
        <v>41_Sales_Sales Executive</v>
      </c>
      <c r="AL2">
        <f ca="1">COUNTIF($AL$2:$AL$1471,AL2)</f>
        <v>0</v>
      </c>
      <c r="AM2" t="str">
        <f>IF(AF2&lt;=2,"0-2 Years",IF(AF2&lt;=5,"3-5 Years",IF(AF2&lt;=10,"6-10 Years",IF(AF2&lt;=15,"11-15 Years",IF(AF2&lt;=20,"16-20 Years","21+ Years")))))</f>
        <v>6-10 Years</v>
      </c>
      <c r="AN2" t="str">
        <f>IF(AH2&lt;=2,"0-2 Years",IF(AH2&lt;=5,"3-5 Years",IF(AH2&lt;=10,"6-10 Years","11-15 Years")))</f>
        <v>0-2 Years</v>
      </c>
      <c r="AO2" t="str">
        <f>IF(A2&lt;=25,"18-25 years",IF(A2&lt;=35,"26-35 years",IF(A2&lt;=45,"36-45 years",IF(A2&lt;=55,"46-55 Years","56+ years"))))</f>
        <v>36-45 years</v>
      </c>
    </row>
    <row r="3" spans="1:41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COUNTIFS($A$2:$A$1471,A3,$B$2:$B$1471,B3,$C$2:$C$1471,C3,$D$2:$D$1471,D3,$E$2:$E$1471,E3,$F$2:$F$1471,F3,$G$2:$G$1471,G3,$H$2:$H$1471,H3,$I$2:$I$1471,I3,$J$2:$J$1471,J3,$K$2:$K$1471,K3,$L$2:$L$1471,L3,$M$2:$M$1471,M3,$N$2:$N$1471,N3,$O$2:$O$1471,O3,$P$2:$P$1471,P3,$Q$2:$Q$1471,Q3,$R$2:$R$1471,R3,$S$2:$S$1471,S3,$T$2:$T$1471,T3,$U$2:$U$1471,U3,$V$2:$V$1471,V3,$W$2:$W$1471,W3,$X$2:$X$1471,X3,$Y$2:$Y$1471,Y3,$Z$2:$Z$1471,Z3,$AA$2:$AA$1471,AA3,$AB$2:$AB$1471,AB3,$AC$2:$AC$1471,AC3,$AD$2:$AD$1471,AD3,$AE$2:$AE$1471,AE3,$AF$2:$AF$1471,AF3,$AG$2:$AG$1471,AG3,$AH$2:$AH$1471,AH3,$AI$2:$AI$1471,AI3)</f>
        <v>1</v>
      </c>
      <c r="AM3" t="str">
        <f t="shared" ref="AM3:AM66" si="0">IF(AF3&lt;=2,"0-2 Years",IF(AF3&lt;=5,"3-5 Years",IF(AF3&lt;=10,"6-10 Years",IF(AF3&lt;=15,"11-15 Years",IF(AF3&lt;=20,"16-20 Years","21+ Years")))))</f>
        <v>6-10 Years</v>
      </c>
      <c r="AN3" t="str">
        <f t="shared" ref="AN3:AN66" si="1">IF(AH3&lt;=2,"0-2 Years",IF(AH3&lt;=5,"3-5 Years",IF(AH3&lt;=10,"6-10 Years","11-15 Years")))</f>
        <v>0-2 Years</v>
      </c>
      <c r="AO3" t="str">
        <f>IF(A3&lt;=25,"18-25 years",IF(A3&lt;=35,"26-35 years",IF(A3&lt;=45,"36-45 years",IF(A3&lt;=55,"46-55 Years","56+ years"))))</f>
        <v>46-55 Years</v>
      </c>
    </row>
    <row r="4" spans="1:41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COUNTIFS($A$2:$A$1471,A4,$B$2:$B$1471,B4,$C$2:$C$1471,C4,$D$2:$D$1471,D4,$E$2:$E$1471,E4,$F$2:$F$1471,F4,$G$2:$G$1471,G4,$H$2:$H$1471,H4,$I$2:$I$1471,I4,$J$2:$J$1471,J4,$K$2:$K$1471,K4,$L$2:$L$1471,L4,$M$2:$M$1471,M4,$N$2:$N$1471,N4,$O$2:$O$1471,O4,$P$2:$P$1471,P4,$Q$2:$Q$1471,Q4,$R$2:$R$1471,R4,$S$2:$S$1471,S4,$T$2:$T$1471,T4,$U$2:$U$1471,U4,$V$2:$V$1471,V4,$W$2:$W$1471,W4,$X$2:$X$1471,X4,$Y$2:$Y$1471,Y4,$Z$2:$Z$1471,Z4,$AA$2:$AA$1471,AA4,$AB$2:$AB$1471,AB4,$AC$2:$AC$1471,AC4,$AD$2:$AD$1471,AD4,$AE$2:$AE$1471,AE4,$AF$2:$AF$1471,AF4,$AG$2:$AG$1471,AG4,$AH$2:$AH$1471,AH4,$AI$2:$AI$1471,AI4)</f>
        <v>1</v>
      </c>
      <c r="AM4" t="str">
        <f t="shared" si="0"/>
        <v>0-2 Years</v>
      </c>
      <c r="AN4" t="str">
        <f t="shared" si="1"/>
        <v>0-2 Years</v>
      </c>
      <c r="AO4" t="str">
        <f>IF(A4&lt;=25,"18-25 years",IF(A4&lt;=35,"26-35 years",IF(A4&lt;=45,"36-45 years",IF(A4&lt;=55,"46-55 Years","56+ years"))))</f>
        <v>36-45 years</v>
      </c>
    </row>
    <row r="5" spans="1:41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COUNTIFS($A$2:$A$1471,A5,$B$2:$B$1471,B5,$C$2:$C$1471,C5,$D$2:$D$1471,D5,$E$2:$E$1471,E5,$F$2:$F$1471,F5,$G$2:$G$1471,G5,$H$2:$H$1471,H5,$I$2:$I$1471,I5,$J$2:$J$1471,J5,$K$2:$K$1471,K5,$L$2:$L$1471,L5,$M$2:$M$1471,M5,$N$2:$N$1471,N5,$O$2:$O$1471,O5,$P$2:$P$1471,P5,$Q$2:$Q$1471,Q5,$R$2:$R$1471,R5,$S$2:$S$1471,S5,$T$2:$T$1471,T5,$U$2:$U$1471,U5,$V$2:$V$1471,V5,$W$2:$W$1471,W5,$X$2:$X$1471,X5,$Y$2:$Y$1471,Y5,$Z$2:$Z$1471,Z5,$AA$2:$AA$1471,AA5,$AB$2:$AB$1471,AB5,$AC$2:$AC$1471,AC5,$AD$2:$AD$1471,AD5,$AE$2:$AE$1471,AE5,$AF$2:$AF$1471,AF5,$AG$2:$AG$1471,AG5,$AH$2:$AH$1471,AH5,$AI$2:$AI$1471,AI5)</f>
        <v>1</v>
      </c>
      <c r="AM5" t="str">
        <f t="shared" si="0"/>
        <v>6-10 Years</v>
      </c>
      <c r="AN5" t="str">
        <f t="shared" si="1"/>
        <v>3-5 Years</v>
      </c>
      <c r="AO5" t="str">
        <f>IF(A5&lt;=25,"18-25 years",IF(A5&lt;=35,"26-35 years",IF(A5&lt;=45,"36-45 years",IF(A5&lt;=55,"46-55 Years","56+ years"))))</f>
        <v>26-35 years</v>
      </c>
    </row>
    <row r="6" spans="1:41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COUNTIFS($A$2:$A$1471,A6,$B$2:$B$1471,B6,$C$2:$C$1471,C6,$D$2:$D$1471,D6,$E$2:$E$1471,E6,$F$2:$F$1471,F6,$G$2:$G$1471,G6,$H$2:$H$1471,H6,$I$2:$I$1471,I6,$J$2:$J$1471,J6,$K$2:$K$1471,K6,$L$2:$L$1471,L6,$M$2:$M$1471,M6,$N$2:$N$1471,N6,$O$2:$O$1471,O6,$P$2:$P$1471,P6,$Q$2:$Q$1471,Q6,$R$2:$R$1471,R6,$S$2:$S$1471,S6,$T$2:$T$1471,T6,$U$2:$U$1471,U6,$V$2:$V$1471,V6,$W$2:$W$1471,W6,$X$2:$X$1471,X6,$Y$2:$Y$1471,Y6,$Z$2:$Z$1471,Z6,$AA$2:$AA$1471,AA6,$AB$2:$AB$1471,AB6,$AC$2:$AC$1471,AC6,$AD$2:$AD$1471,AD6,$AE$2:$AE$1471,AE6,$AF$2:$AF$1471,AF6,$AG$2:$AG$1471,AG6,$AH$2:$AH$1471,AH6,$AI$2:$AI$1471,AI6)</f>
        <v>1</v>
      </c>
      <c r="AM6" t="str">
        <f t="shared" si="0"/>
        <v>0-2 Years</v>
      </c>
      <c r="AN6" t="str">
        <f t="shared" si="1"/>
        <v>0-2 Years</v>
      </c>
      <c r="AO6" t="str">
        <f>IF(A6&lt;=25,"18-25 years",IF(A6&lt;=35,"26-35 years",IF(A6&lt;=45,"36-45 years",IF(A6&lt;=55,"46-55 Years","56+ years"))))</f>
        <v>26-35 years</v>
      </c>
    </row>
    <row r="7" spans="1:41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ref="AJ7:AJ66" si="2">COUNTIFS($A$2:$A$1471,A7,$B$2:$B$1471,B7,$C$2:$C$1471,C7,$D$2:$D$1471,D7,$E$2:$E$1471,E7,$F$2:$F$1471,F7,$G$2:$G$1471,G7,$H$2:$H$1471,H7,$I$2:$I$1471,I7,$J$2:$J$1471,J7,$K$2:$K$1471,K7,$L$2:$L$1471,L7,$M$2:$M$1471,M7,$N$2:$N$1471,N7,$O$2:$O$1471,O7,$P$2:$P$1471,P7,$Q$2:$Q$1471,Q7,$R$2:$R$1471,R7,$S$2:$S$1471,S7,$T$2:$T$1471,T7,$U$2:$U$1471,U7,$V$2:$V$1471,V7,$W$2:$W$1471,W7,$X$2:$X$1471,X7,$Y$2:$Y$1471,Y7,$Z$2:$Z$1471,Z7,$AA$2:$AA$1471,AA7,$AB$2:$AB$1471,AB7,$AC$2:$AC$1471,AC7,$AD$2:$AD$1471,AD7,$AE$2:$AE$1471,AE7,$AF$2:$AF$1471,AF7,$AG$2:$AG$1471,AG7,$AH$2:$AH$1471,AH7,$AI$2:$AI$1471,AI7)</f>
        <v>1</v>
      </c>
      <c r="AM7" t="str">
        <f t="shared" si="0"/>
        <v>6-10 Years</v>
      </c>
      <c r="AN7" t="str">
        <f t="shared" si="1"/>
        <v>3-5 Years</v>
      </c>
      <c r="AO7" t="str">
        <f t="shared" ref="AO7:AO66" si="3">IF(A7&lt;=25,"18-25 years",IF(A7&lt;=35,"26-35 years",IF(A7&lt;=45,"36-45 years",IF(A7&lt;=55,"46-55 Years","56+ years"))))</f>
        <v>26-35 years</v>
      </c>
    </row>
    <row r="8" spans="1:41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2"/>
        <v>1</v>
      </c>
      <c r="AM8" t="str">
        <f>IF(AF8&lt;=2,"0-2 Years",IF(AF8&lt;=5,"3-5 Years",IF(AF8&lt;=10,"6-10 Years",IF(AF8&lt;=15,"11-15 Years",IF(AF8&lt;=20,"16-20 Years","21+ Years")))))</f>
        <v>0-2 Years</v>
      </c>
      <c r="AN8" t="str">
        <f t="shared" si="1"/>
        <v>0-2 Years</v>
      </c>
      <c r="AO8" t="str">
        <f t="shared" si="3"/>
        <v>56+ years</v>
      </c>
    </row>
    <row r="9" spans="1:41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2"/>
        <v>1</v>
      </c>
      <c r="AM9" t="str">
        <f t="shared" si="0"/>
        <v>0-2 Years</v>
      </c>
      <c r="AN9" t="str">
        <f t="shared" si="1"/>
        <v>0-2 Years</v>
      </c>
      <c r="AO9" t="str">
        <f t="shared" si="3"/>
        <v>26-35 years</v>
      </c>
    </row>
    <row r="10" spans="1:41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2"/>
        <v>1</v>
      </c>
      <c r="AM10" t="str">
        <f t="shared" si="0"/>
        <v>6-10 Years</v>
      </c>
      <c r="AN10" t="str">
        <f t="shared" si="1"/>
        <v>0-2 Years</v>
      </c>
      <c r="AO10" t="str">
        <f t="shared" si="3"/>
        <v>36-45 years</v>
      </c>
    </row>
    <row r="11" spans="1:41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2"/>
        <v>1</v>
      </c>
      <c r="AM11" t="str">
        <f t="shared" si="0"/>
        <v>6-10 Years</v>
      </c>
      <c r="AN11" t="str">
        <f t="shared" si="1"/>
        <v>6-10 Years</v>
      </c>
      <c r="AO11" t="str">
        <f t="shared" si="3"/>
        <v>36-45 years</v>
      </c>
    </row>
    <row r="12" spans="1:41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2"/>
        <v>1</v>
      </c>
      <c r="AM12" t="str">
        <f t="shared" si="0"/>
        <v>3-5 Years</v>
      </c>
      <c r="AN12" t="str">
        <f t="shared" si="1"/>
        <v>0-2 Years</v>
      </c>
      <c r="AO12" t="str">
        <f t="shared" si="3"/>
        <v>26-35 years</v>
      </c>
    </row>
    <row r="13" spans="1:41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2"/>
        <v>1</v>
      </c>
      <c r="AM13" t="str">
        <f t="shared" si="0"/>
        <v>6-10 Years</v>
      </c>
      <c r="AN13" t="str">
        <f t="shared" si="1"/>
        <v>0-2 Years</v>
      </c>
      <c r="AO13" t="str">
        <f t="shared" si="3"/>
        <v>26-35 years</v>
      </c>
    </row>
    <row r="14" spans="1:41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2"/>
        <v>1</v>
      </c>
      <c r="AM14" t="str">
        <f t="shared" si="0"/>
        <v>3-5 Years</v>
      </c>
      <c r="AN14" t="str">
        <f t="shared" si="1"/>
        <v>3-5 Years</v>
      </c>
      <c r="AO14" t="str">
        <f t="shared" si="3"/>
        <v>26-35 years</v>
      </c>
    </row>
    <row r="15" spans="1:41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2"/>
        <v>1</v>
      </c>
      <c r="AM15" t="str">
        <f t="shared" si="0"/>
        <v>0-2 Years</v>
      </c>
      <c r="AN15" t="str">
        <f t="shared" si="1"/>
        <v>0-2 Years</v>
      </c>
      <c r="AO15" t="str">
        <f t="shared" si="3"/>
        <v>26-35 years</v>
      </c>
    </row>
    <row r="16" spans="1:41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2"/>
        <v>1</v>
      </c>
      <c r="AM16" t="str">
        <f t="shared" si="0"/>
        <v>3-5 Years</v>
      </c>
      <c r="AN16" t="str">
        <f t="shared" si="1"/>
        <v>0-2 Years</v>
      </c>
      <c r="AO16" t="str">
        <f t="shared" si="3"/>
        <v>26-35 years</v>
      </c>
    </row>
    <row r="17" spans="1:41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2"/>
        <v>1</v>
      </c>
      <c r="AM17" t="str">
        <f t="shared" si="0"/>
        <v>6-10 Years</v>
      </c>
      <c r="AN17" t="str">
        <f t="shared" si="1"/>
        <v>6-10 Years</v>
      </c>
      <c r="AO17" t="str">
        <f t="shared" si="3"/>
        <v>26-35 years</v>
      </c>
    </row>
    <row r="18" spans="1:41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2"/>
        <v>1</v>
      </c>
      <c r="AM18" t="str">
        <f t="shared" si="0"/>
        <v>6-10 Years</v>
      </c>
      <c r="AN18" t="str">
        <f t="shared" si="1"/>
        <v>0-2 Years</v>
      </c>
      <c r="AO18" t="str">
        <f t="shared" si="3"/>
        <v>26-35 years</v>
      </c>
    </row>
    <row r="19" spans="1:41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2"/>
        <v>1</v>
      </c>
      <c r="AM19" t="str">
        <f t="shared" si="0"/>
        <v>0-2 Years</v>
      </c>
      <c r="AN19" t="str">
        <f t="shared" si="1"/>
        <v>0-2 Years</v>
      </c>
      <c r="AO19" t="str">
        <f t="shared" si="3"/>
        <v>18-25 years</v>
      </c>
    </row>
    <row r="20" spans="1:41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2"/>
        <v>1</v>
      </c>
      <c r="AM20" t="str">
        <f t="shared" si="0"/>
        <v>21+ Years</v>
      </c>
      <c r="AN20" t="str">
        <f t="shared" si="1"/>
        <v>3-5 Years</v>
      </c>
      <c r="AO20" t="str">
        <f t="shared" si="3"/>
        <v>46-55 Years</v>
      </c>
    </row>
    <row r="21" spans="1:41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2"/>
        <v>1</v>
      </c>
      <c r="AM21" t="str">
        <f t="shared" si="0"/>
        <v>3-5 Years</v>
      </c>
      <c r="AN21" t="str">
        <f t="shared" si="1"/>
        <v>0-2 Years</v>
      </c>
      <c r="AO21" t="str">
        <f t="shared" si="3"/>
        <v>36-45 years</v>
      </c>
    </row>
    <row r="22" spans="1:41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2"/>
        <v>1</v>
      </c>
      <c r="AM22" t="str">
        <f t="shared" si="0"/>
        <v>3-5 Years</v>
      </c>
      <c r="AN22" t="str">
        <f t="shared" si="1"/>
        <v>0-2 Years</v>
      </c>
      <c r="AO22" t="str">
        <f t="shared" si="3"/>
        <v>18-25 years</v>
      </c>
    </row>
    <row r="23" spans="1:41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2"/>
        <v>1</v>
      </c>
      <c r="AM23" t="str">
        <f t="shared" si="0"/>
        <v>3-5 Years</v>
      </c>
      <c r="AN23" t="str">
        <f t="shared" si="1"/>
        <v>0-2 Years</v>
      </c>
      <c r="AO23" t="str">
        <f t="shared" si="3"/>
        <v>36-45 years</v>
      </c>
    </row>
    <row r="24" spans="1:41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2"/>
        <v>1</v>
      </c>
      <c r="AM24" t="str">
        <f t="shared" si="0"/>
        <v>11-15 Years</v>
      </c>
      <c r="AN24" t="str">
        <f t="shared" si="1"/>
        <v>0-2 Years</v>
      </c>
      <c r="AO24" t="str">
        <f t="shared" si="3"/>
        <v>26-35 years</v>
      </c>
    </row>
    <row r="25" spans="1:41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2"/>
        <v>1</v>
      </c>
      <c r="AM25" t="str">
        <f t="shared" si="0"/>
        <v>0-2 Years</v>
      </c>
      <c r="AN25" t="str">
        <f t="shared" si="1"/>
        <v>0-2 Years</v>
      </c>
      <c r="AO25" t="str">
        <f t="shared" si="3"/>
        <v>18-25 years</v>
      </c>
    </row>
    <row r="26" spans="1:41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2"/>
        <v>1</v>
      </c>
      <c r="AM26" t="str">
        <f t="shared" si="0"/>
        <v>3-5 Years</v>
      </c>
      <c r="AN26" t="str">
        <f t="shared" si="1"/>
        <v>0-2 Years</v>
      </c>
      <c r="AO26" t="str">
        <f t="shared" si="3"/>
        <v>26-35 years</v>
      </c>
    </row>
    <row r="27" spans="1:41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2"/>
        <v>1</v>
      </c>
      <c r="AM27" t="str">
        <f t="shared" si="0"/>
        <v>11-15 Years</v>
      </c>
      <c r="AN27" t="str">
        <f t="shared" si="1"/>
        <v>3-5 Years</v>
      </c>
      <c r="AO27" t="str">
        <f t="shared" si="3"/>
        <v>46-55 Years</v>
      </c>
    </row>
    <row r="28" spans="1:41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2"/>
        <v>1</v>
      </c>
      <c r="AM28" t="str">
        <f t="shared" si="0"/>
        <v>6-10 Years</v>
      </c>
      <c r="AN28" t="str">
        <f t="shared" si="1"/>
        <v>6-10 Years</v>
      </c>
      <c r="AO28" t="str">
        <f t="shared" si="3"/>
        <v>26-35 years</v>
      </c>
    </row>
    <row r="29" spans="1:41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2"/>
        <v>1</v>
      </c>
      <c r="AM29" t="str">
        <f t="shared" si="0"/>
        <v>6-10 Years</v>
      </c>
      <c r="AN29" t="str">
        <f t="shared" si="1"/>
        <v>3-5 Years</v>
      </c>
      <c r="AO29" t="str">
        <f t="shared" si="3"/>
        <v>36-45 years</v>
      </c>
    </row>
    <row r="30" spans="1:41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2"/>
        <v>1</v>
      </c>
      <c r="AM30" t="str">
        <f t="shared" si="0"/>
        <v>21+ Years</v>
      </c>
      <c r="AN30" t="str">
        <f t="shared" si="1"/>
        <v>3-5 Years</v>
      </c>
      <c r="AO30" t="str">
        <f t="shared" si="3"/>
        <v>36-45 years</v>
      </c>
    </row>
    <row r="31" spans="1:41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2"/>
        <v>1</v>
      </c>
      <c r="AM31" t="str">
        <f t="shared" si="0"/>
        <v>0-2 Years</v>
      </c>
      <c r="AN31" t="str">
        <f t="shared" si="1"/>
        <v>0-2 Years</v>
      </c>
      <c r="AO31" t="str">
        <f t="shared" si="3"/>
        <v>46-55 Years</v>
      </c>
    </row>
    <row r="32" spans="1:41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2"/>
        <v>1</v>
      </c>
      <c r="AM32" t="str">
        <f t="shared" si="0"/>
        <v>0-2 Years</v>
      </c>
      <c r="AN32" t="str">
        <f t="shared" si="1"/>
        <v>0-2 Years</v>
      </c>
      <c r="AO32" t="str">
        <f t="shared" si="3"/>
        <v>26-35 years</v>
      </c>
    </row>
    <row r="33" spans="1:41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2"/>
        <v>1</v>
      </c>
      <c r="AM33" t="str">
        <f t="shared" si="0"/>
        <v>3-5 Years</v>
      </c>
      <c r="AN33" t="str">
        <f t="shared" si="1"/>
        <v>0-2 Years</v>
      </c>
      <c r="AO33" t="str">
        <f t="shared" si="3"/>
        <v>36-45 years</v>
      </c>
    </row>
    <row r="34" spans="1:41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2"/>
        <v>1</v>
      </c>
      <c r="AM34" t="str">
        <f t="shared" si="0"/>
        <v>6-10 Years</v>
      </c>
      <c r="AN34" t="str">
        <f t="shared" si="1"/>
        <v>0-2 Years</v>
      </c>
      <c r="AO34" t="str">
        <f t="shared" si="3"/>
        <v>26-35 years</v>
      </c>
    </row>
    <row r="35" spans="1:41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2"/>
        <v>1</v>
      </c>
      <c r="AM35" t="str">
        <f t="shared" si="0"/>
        <v>0-2 Years</v>
      </c>
      <c r="AN35" t="str">
        <f t="shared" si="1"/>
        <v>0-2 Years</v>
      </c>
      <c r="AO35" t="str">
        <f t="shared" si="3"/>
        <v>36-45 years</v>
      </c>
    </row>
    <row r="36" spans="1:41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2"/>
        <v>1</v>
      </c>
      <c r="AM36" t="str">
        <f t="shared" si="0"/>
        <v>0-2 Years</v>
      </c>
      <c r="AN36" t="str">
        <f t="shared" si="1"/>
        <v>0-2 Years</v>
      </c>
      <c r="AO36" t="str">
        <f t="shared" si="3"/>
        <v>18-25 years</v>
      </c>
    </row>
    <row r="37" spans="1:41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2"/>
        <v>1</v>
      </c>
      <c r="AM37" t="str">
        <f t="shared" si="0"/>
        <v>3-5 Years</v>
      </c>
      <c r="AN37" t="str">
        <f t="shared" si="1"/>
        <v>0-2 Years</v>
      </c>
      <c r="AO37" t="str">
        <f t="shared" si="3"/>
        <v>36-45 years</v>
      </c>
    </row>
    <row r="38" spans="1:41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2"/>
        <v>1</v>
      </c>
      <c r="AM38" t="str">
        <f t="shared" si="0"/>
        <v>3-5 Years</v>
      </c>
      <c r="AN38" t="str">
        <f t="shared" si="1"/>
        <v>0-2 Years</v>
      </c>
      <c r="AO38" t="str">
        <f t="shared" si="3"/>
        <v>46-55 Years</v>
      </c>
    </row>
    <row r="39" spans="1:41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2"/>
        <v>1</v>
      </c>
      <c r="AM39" t="str">
        <f t="shared" si="0"/>
        <v>0-2 Years</v>
      </c>
      <c r="AN39" t="str">
        <f t="shared" si="1"/>
        <v>0-2 Years</v>
      </c>
      <c r="AO39" t="str">
        <f t="shared" si="3"/>
        <v>26-35 years</v>
      </c>
    </row>
    <row r="40" spans="1:41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2"/>
        <v>1</v>
      </c>
      <c r="AM40" t="str">
        <f t="shared" si="0"/>
        <v>0-2 Years</v>
      </c>
      <c r="AN40" t="str">
        <f t="shared" si="1"/>
        <v>0-2 Years</v>
      </c>
      <c r="AO40" t="str">
        <f t="shared" si="3"/>
        <v>36-45 years</v>
      </c>
    </row>
    <row r="41" spans="1:41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2"/>
        <v>1</v>
      </c>
      <c r="AM41" t="str">
        <f t="shared" si="0"/>
        <v>3-5 Years</v>
      </c>
      <c r="AN41" t="str">
        <f t="shared" si="1"/>
        <v>0-2 Years</v>
      </c>
      <c r="AO41" t="str">
        <f t="shared" si="3"/>
        <v>26-35 years</v>
      </c>
    </row>
    <row r="42" spans="1:41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2"/>
        <v>1</v>
      </c>
      <c r="AM42" t="str">
        <f t="shared" si="0"/>
        <v>0-2 Years</v>
      </c>
      <c r="AN42" t="str">
        <f t="shared" si="1"/>
        <v>0-2 Years</v>
      </c>
      <c r="AO42" t="str">
        <f t="shared" si="3"/>
        <v>26-35 years</v>
      </c>
    </row>
    <row r="43" spans="1:41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2"/>
        <v>1</v>
      </c>
      <c r="AM43" t="str">
        <f t="shared" si="0"/>
        <v>0-2 Years</v>
      </c>
      <c r="AN43" t="str">
        <f t="shared" si="1"/>
        <v>0-2 Years</v>
      </c>
      <c r="AO43" t="str">
        <f t="shared" si="3"/>
        <v>26-35 years</v>
      </c>
    </row>
    <row r="44" spans="1:41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2"/>
        <v>1</v>
      </c>
      <c r="AM44" t="str">
        <f t="shared" si="0"/>
        <v>0-2 Years</v>
      </c>
      <c r="AN44" t="str">
        <f t="shared" si="1"/>
        <v>0-2 Years</v>
      </c>
      <c r="AO44" t="str">
        <f t="shared" si="3"/>
        <v>26-35 years</v>
      </c>
    </row>
    <row r="45" spans="1:41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2"/>
        <v>1</v>
      </c>
      <c r="AM45" t="str">
        <f t="shared" si="0"/>
        <v>6-10 Years</v>
      </c>
      <c r="AN45" t="str">
        <f t="shared" si="1"/>
        <v>0-2 Years</v>
      </c>
      <c r="AO45" t="str">
        <f t="shared" si="3"/>
        <v>26-35 years</v>
      </c>
    </row>
    <row r="46" spans="1:41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2"/>
        <v>1</v>
      </c>
      <c r="AM46" t="str">
        <f t="shared" si="0"/>
        <v>11-15 Years</v>
      </c>
      <c r="AN46" t="str">
        <f t="shared" si="1"/>
        <v>3-5 Years</v>
      </c>
      <c r="AO46" t="str">
        <f t="shared" si="3"/>
        <v>26-35 years</v>
      </c>
    </row>
    <row r="47" spans="1:41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2"/>
        <v>1</v>
      </c>
      <c r="AM47" t="str">
        <f t="shared" si="0"/>
        <v>21+ Years</v>
      </c>
      <c r="AN47" t="str">
        <f t="shared" si="1"/>
        <v>11-15 Years</v>
      </c>
      <c r="AO47" t="str">
        <f t="shared" si="3"/>
        <v>36-45 years</v>
      </c>
    </row>
    <row r="48" spans="1:41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2"/>
        <v>1</v>
      </c>
      <c r="AM48" t="str">
        <f t="shared" si="0"/>
        <v>6-10 Years</v>
      </c>
      <c r="AN48" t="str">
        <f t="shared" si="1"/>
        <v>6-10 Years</v>
      </c>
      <c r="AO48" t="str">
        <f t="shared" si="3"/>
        <v>26-35 years</v>
      </c>
    </row>
    <row r="49" spans="1:41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2"/>
        <v>1</v>
      </c>
      <c r="AM49" t="str">
        <f t="shared" si="0"/>
        <v>0-2 Years</v>
      </c>
      <c r="AN49" t="str">
        <f t="shared" si="1"/>
        <v>0-2 Years</v>
      </c>
      <c r="AO49" t="str">
        <f t="shared" si="3"/>
        <v>36-45 years</v>
      </c>
    </row>
    <row r="50" spans="1:41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2"/>
        <v>1</v>
      </c>
      <c r="AM50" t="str">
        <f t="shared" si="0"/>
        <v>6-10 Years</v>
      </c>
      <c r="AN50" t="str">
        <f t="shared" si="1"/>
        <v>0-2 Years</v>
      </c>
      <c r="AO50" t="str">
        <f t="shared" si="3"/>
        <v>46-55 Years</v>
      </c>
    </row>
    <row r="51" spans="1:41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2"/>
        <v>1</v>
      </c>
      <c r="AM51" t="str">
        <f t="shared" si="0"/>
        <v>0-2 Years</v>
      </c>
      <c r="AN51" t="str">
        <f t="shared" si="1"/>
        <v>0-2 Years</v>
      </c>
      <c r="AO51" t="str">
        <f t="shared" si="3"/>
        <v>26-35 years</v>
      </c>
    </row>
    <row r="52" spans="1:41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2"/>
        <v>1</v>
      </c>
      <c r="AM52" t="str">
        <f t="shared" si="0"/>
        <v>0-2 Years</v>
      </c>
      <c r="AN52" t="str">
        <f t="shared" si="1"/>
        <v>0-2 Years</v>
      </c>
      <c r="AO52" t="str">
        <f t="shared" si="3"/>
        <v>46-55 Years</v>
      </c>
    </row>
    <row r="53" spans="1:41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2"/>
        <v>1</v>
      </c>
      <c r="AM53" t="str">
        <f t="shared" si="0"/>
        <v>0-2 Years</v>
      </c>
      <c r="AN53" t="str">
        <f t="shared" si="1"/>
        <v>0-2 Years</v>
      </c>
      <c r="AO53" t="str">
        <f t="shared" si="3"/>
        <v>26-35 years</v>
      </c>
    </row>
    <row r="54" spans="1:41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2"/>
        <v>1</v>
      </c>
      <c r="AM54" t="str">
        <f t="shared" si="0"/>
        <v>3-5 Years</v>
      </c>
      <c r="AN54" t="str">
        <f t="shared" si="1"/>
        <v>0-2 Years</v>
      </c>
      <c r="AO54" t="str">
        <f t="shared" si="3"/>
        <v>36-45 years</v>
      </c>
    </row>
    <row r="55" spans="1:41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2"/>
        <v>1</v>
      </c>
      <c r="AM55" t="str">
        <f t="shared" si="0"/>
        <v>3-5 Years</v>
      </c>
      <c r="AN55" t="str">
        <f t="shared" si="1"/>
        <v>0-2 Years</v>
      </c>
      <c r="AO55" t="str">
        <f t="shared" si="3"/>
        <v>26-35 years</v>
      </c>
    </row>
    <row r="56" spans="1:41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2"/>
        <v>1</v>
      </c>
      <c r="AM56" t="str">
        <f t="shared" si="0"/>
        <v>0-2 Years</v>
      </c>
      <c r="AN56" t="str">
        <f t="shared" si="1"/>
        <v>0-2 Years</v>
      </c>
      <c r="AO56" t="str">
        <f t="shared" si="3"/>
        <v>26-35 years</v>
      </c>
    </row>
    <row r="57" spans="1:41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2"/>
        <v>1</v>
      </c>
      <c r="AM57" t="str">
        <f t="shared" si="0"/>
        <v>11-15 Years</v>
      </c>
      <c r="AN57" t="str">
        <f t="shared" si="1"/>
        <v>6-10 Years</v>
      </c>
      <c r="AO57" t="str">
        <f t="shared" si="3"/>
        <v>26-35 years</v>
      </c>
    </row>
    <row r="58" spans="1:41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2"/>
        <v>1</v>
      </c>
      <c r="AM58" t="str">
        <f t="shared" si="0"/>
        <v>6-10 Years</v>
      </c>
      <c r="AN58" t="str">
        <f t="shared" si="1"/>
        <v>0-2 Years</v>
      </c>
      <c r="AO58" t="str">
        <f t="shared" si="3"/>
        <v>26-35 years</v>
      </c>
    </row>
    <row r="59" spans="1:41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2"/>
        <v>1</v>
      </c>
      <c r="AM59" t="str">
        <f t="shared" si="0"/>
        <v>0-2 Years</v>
      </c>
      <c r="AN59" t="str">
        <f t="shared" si="1"/>
        <v>0-2 Years</v>
      </c>
      <c r="AO59" t="str">
        <f t="shared" si="3"/>
        <v>26-35 years</v>
      </c>
    </row>
    <row r="60" spans="1:41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2"/>
        <v>1</v>
      </c>
      <c r="AM60" t="str">
        <f t="shared" si="0"/>
        <v>6-10 Years</v>
      </c>
      <c r="AN60" t="str">
        <f t="shared" si="1"/>
        <v>0-2 Years</v>
      </c>
      <c r="AO60" t="str">
        <f t="shared" si="3"/>
        <v>26-35 years</v>
      </c>
    </row>
    <row r="61" spans="1:41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2"/>
        <v>1</v>
      </c>
      <c r="AM61" t="str">
        <f t="shared" si="0"/>
        <v>6-10 Years</v>
      </c>
      <c r="AN61" t="str">
        <f t="shared" si="1"/>
        <v>0-2 Years</v>
      </c>
      <c r="AO61" t="str">
        <f t="shared" si="3"/>
        <v>36-45 years</v>
      </c>
    </row>
    <row r="62" spans="1:41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2"/>
        <v>1</v>
      </c>
      <c r="AM62" t="str">
        <f t="shared" si="0"/>
        <v>6-10 Years</v>
      </c>
      <c r="AN62" t="str">
        <f t="shared" si="1"/>
        <v>6-10 Years</v>
      </c>
      <c r="AO62" t="str">
        <f t="shared" si="3"/>
        <v>26-35 years</v>
      </c>
    </row>
    <row r="63" spans="1:41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2"/>
        <v>1</v>
      </c>
      <c r="AM63" t="str">
        <f t="shared" si="0"/>
        <v>6-10 Years</v>
      </c>
      <c r="AN63" t="str">
        <f t="shared" si="1"/>
        <v>6-10 Years</v>
      </c>
      <c r="AO63" t="str">
        <f t="shared" si="3"/>
        <v>36-45 years</v>
      </c>
    </row>
    <row r="64" spans="1:41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2"/>
        <v>1</v>
      </c>
      <c r="AM64" t="str">
        <f t="shared" si="0"/>
        <v>21+ Years</v>
      </c>
      <c r="AN64" t="str">
        <f t="shared" si="1"/>
        <v>11-15 Years</v>
      </c>
      <c r="AO64" t="str">
        <f t="shared" si="3"/>
        <v>46-55 Years</v>
      </c>
    </row>
    <row r="65" spans="1:41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2"/>
        <v>1</v>
      </c>
      <c r="AM65" t="str">
        <f t="shared" si="0"/>
        <v>21+ Years</v>
      </c>
      <c r="AN65" t="str">
        <f t="shared" si="1"/>
        <v>6-10 Years</v>
      </c>
      <c r="AO65" t="str">
        <f t="shared" si="3"/>
        <v>56+ years</v>
      </c>
    </row>
    <row r="66" spans="1:41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si="2"/>
        <v>1</v>
      </c>
      <c r="AM66" t="str">
        <f t="shared" si="0"/>
        <v>16-20 Years</v>
      </c>
      <c r="AN66" t="str">
        <f t="shared" si="1"/>
        <v>11-15 Years</v>
      </c>
      <c r="AO66" t="str">
        <f t="shared" si="3"/>
        <v>36-45 years</v>
      </c>
    </row>
    <row r="67" spans="1:41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ref="AJ67:AJ130" si="4">COUNTIFS($A$2:$A$1471,A67,$B$2:$B$1471,B67,$C$2:$C$1471,C67,$D$2:$D$1471,D67,$E$2:$E$1471,E67,$F$2:$F$1471,F67,$G$2:$G$1471,G67,$H$2:$H$1471,H67,$I$2:$I$1471,I67,$J$2:$J$1471,J67,$K$2:$K$1471,K67,$L$2:$L$1471,L67,$M$2:$M$1471,M67,$N$2:$N$1471,N67,$O$2:$O$1471,O67,$P$2:$P$1471,P67,$Q$2:$Q$1471,Q67,$R$2:$R$1471,R67,$S$2:$S$1471,S67,$T$2:$T$1471,T67,$U$2:$U$1471,U67,$V$2:$V$1471,V67,$W$2:$W$1471,W67,$X$2:$X$1471,X67,$Y$2:$Y$1471,Y67,$Z$2:$Z$1471,Z67,$AA$2:$AA$1471,AA67,$AB$2:$AB$1471,AB67,$AC$2:$AC$1471,AC67,$AD$2:$AD$1471,AD67,$AE$2:$AE$1471,AE67,$AF$2:$AF$1471,AF67,$AG$2:$AG$1471,AG67,$AH$2:$AH$1471,AH67,$AI$2:$AI$1471,AI67)</f>
        <v>1</v>
      </c>
      <c r="AM67" t="str">
        <f t="shared" ref="AM67:AM130" si="5">IF(AF67&lt;=2,"0-2 Years",IF(AF67&lt;=5,"3-5 Years",IF(AF67&lt;=10,"6-10 Years",IF(AF67&lt;=15,"11-15 Years",IF(AF67&lt;=20,"16-20 Years","21+ Years")))))</f>
        <v>3-5 Years</v>
      </c>
      <c r="AN67" t="str">
        <f t="shared" ref="AN67:AN130" si="6">IF(AH67&lt;=2,"0-2 Years",IF(AH67&lt;=5,"3-5 Years",IF(AH67&lt;=10,"6-10 Years","11-15 Years")))</f>
        <v>0-2 Years</v>
      </c>
      <c r="AO67" t="str">
        <f t="shared" ref="AO67:AO130" si="7">IF(A67&lt;=25,"18-25 years",IF(A67&lt;=35,"26-35 years",IF(A67&lt;=45,"36-45 years",IF(A67&lt;=55,"46-55 Years","56+ years"))))</f>
        <v>46-55 Years</v>
      </c>
    </row>
    <row r="68" spans="1:41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4"/>
        <v>1</v>
      </c>
      <c r="AM68" t="str">
        <f t="shared" si="5"/>
        <v>6-10 Years</v>
      </c>
      <c r="AN68" t="str">
        <f t="shared" si="6"/>
        <v>0-2 Years</v>
      </c>
      <c r="AO68" t="str">
        <f t="shared" si="7"/>
        <v>36-45 years</v>
      </c>
    </row>
    <row r="69" spans="1:41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4"/>
        <v>1</v>
      </c>
      <c r="AM69" t="str">
        <f t="shared" si="5"/>
        <v>0-2 Years</v>
      </c>
      <c r="AN69" t="str">
        <f t="shared" si="6"/>
        <v>0-2 Years</v>
      </c>
      <c r="AO69" t="str">
        <f t="shared" si="7"/>
        <v>36-45 years</v>
      </c>
    </row>
    <row r="70" spans="1:41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4"/>
        <v>1</v>
      </c>
      <c r="AM70" t="str">
        <f t="shared" si="5"/>
        <v>3-5 Years</v>
      </c>
      <c r="AN70" t="str">
        <f t="shared" si="6"/>
        <v>0-2 Years</v>
      </c>
      <c r="AO70" t="str">
        <f t="shared" si="7"/>
        <v>26-35 years</v>
      </c>
    </row>
    <row r="71" spans="1:41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4"/>
        <v>1</v>
      </c>
      <c r="AM71" t="str">
        <f t="shared" si="5"/>
        <v>0-2 Years</v>
      </c>
      <c r="AN71" t="str">
        <f t="shared" si="6"/>
        <v>0-2 Years</v>
      </c>
      <c r="AO71" t="str">
        <f t="shared" si="7"/>
        <v>36-45 years</v>
      </c>
    </row>
    <row r="72" spans="1:41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4"/>
        <v>1</v>
      </c>
      <c r="AM72" t="str">
        <f t="shared" si="5"/>
        <v>3-5 Years</v>
      </c>
      <c r="AN72" t="str">
        <f t="shared" si="6"/>
        <v>0-2 Years</v>
      </c>
      <c r="AO72" t="str">
        <f t="shared" si="7"/>
        <v>56+ years</v>
      </c>
    </row>
    <row r="73" spans="1:41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4"/>
        <v>1</v>
      </c>
      <c r="AM73" t="str">
        <f t="shared" si="5"/>
        <v>3-5 Years</v>
      </c>
      <c r="AN73" t="str">
        <f t="shared" si="6"/>
        <v>0-2 Years</v>
      </c>
      <c r="AO73" t="str">
        <f t="shared" si="7"/>
        <v>26-35 years</v>
      </c>
    </row>
    <row r="74" spans="1:41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4"/>
        <v>1</v>
      </c>
      <c r="AM74" t="str">
        <f t="shared" si="5"/>
        <v>0-2 Years</v>
      </c>
      <c r="AN74" t="str">
        <f t="shared" si="6"/>
        <v>0-2 Years</v>
      </c>
      <c r="AO74" t="str">
        <f t="shared" si="7"/>
        <v>26-35 years</v>
      </c>
    </row>
    <row r="75" spans="1:41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4"/>
        <v>1</v>
      </c>
      <c r="AM75" t="str">
        <f t="shared" si="5"/>
        <v>6-10 Years</v>
      </c>
      <c r="AN75" t="str">
        <f t="shared" si="6"/>
        <v>0-2 Years</v>
      </c>
      <c r="AO75" t="str">
        <f t="shared" si="7"/>
        <v>26-35 years</v>
      </c>
    </row>
    <row r="76" spans="1:41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4"/>
        <v>1</v>
      </c>
      <c r="AM76" t="str">
        <f t="shared" si="5"/>
        <v>0-2 Years</v>
      </c>
      <c r="AN76" t="str">
        <f t="shared" si="6"/>
        <v>0-2 Years</v>
      </c>
      <c r="AO76" t="str">
        <f t="shared" si="7"/>
        <v>36-45 years</v>
      </c>
    </row>
    <row r="77" spans="1:41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4"/>
        <v>1</v>
      </c>
      <c r="AM77" t="str">
        <f t="shared" si="5"/>
        <v>11-15 Years</v>
      </c>
      <c r="AN77" t="str">
        <f t="shared" si="6"/>
        <v>0-2 Years</v>
      </c>
      <c r="AO77" t="str">
        <f t="shared" si="7"/>
        <v>26-35 years</v>
      </c>
    </row>
    <row r="78" spans="1:41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4"/>
        <v>1</v>
      </c>
      <c r="AM78" t="str">
        <f t="shared" si="5"/>
        <v>11-15 Years</v>
      </c>
      <c r="AN78" t="str">
        <f t="shared" si="6"/>
        <v>0-2 Years</v>
      </c>
      <c r="AO78" t="str">
        <f t="shared" si="7"/>
        <v>26-35 years</v>
      </c>
    </row>
    <row r="79" spans="1:41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4"/>
        <v>1</v>
      </c>
      <c r="AM79" t="str">
        <f t="shared" si="5"/>
        <v>0-2 Years</v>
      </c>
      <c r="AN79" t="str">
        <f t="shared" si="6"/>
        <v>0-2 Years</v>
      </c>
      <c r="AO79" t="str">
        <f t="shared" si="7"/>
        <v>36-45 years</v>
      </c>
    </row>
    <row r="80" spans="1:41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4"/>
        <v>1</v>
      </c>
      <c r="AM80" t="str">
        <f t="shared" si="5"/>
        <v>3-5 Years</v>
      </c>
      <c r="AN80" t="str">
        <f t="shared" si="6"/>
        <v>0-2 Years</v>
      </c>
      <c r="AO80" t="str">
        <f t="shared" si="7"/>
        <v>36-45 years</v>
      </c>
    </row>
    <row r="81" spans="1:41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4"/>
        <v>1</v>
      </c>
      <c r="AM81" t="str">
        <f t="shared" si="5"/>
        <v>3-5 Years</v>
      </c>
      <c r="AN81" t="str">
        <f t="shared" si="6"/>
        <v>0-2 Years</v>
      </c>
      <c r="AO81" t="str">
        <f t="shared" si="7"/>
        <v>46-55 Years</v>
      </c>
    </row>
    <row r="82" spans="1:41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4"/>
        <v>1</v>
      </c>
      <c r="AM82" t="str">
        <f t="shared" si="5"/>
        <v>6-10 Years</v>
      </c>
      <c r="AN82" t="str">
        <f t="shared" si="6"/>
        <v>3-5 Years</v>
      </c>
      <c r="AO82" t="str">
        <f t="shared" si="7"/>
        <v>26-35 years</v>
      </c>
    </row>
    <row r="83" spans="1:41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4"/>
        <v>1</v>
      </c>
      <c r="AM83" t="str">
        <f t="shared" si="5"/>
        <v>6-10 Years</v>
      </c>
      <c r="AN83" t="str">
        <f t="shared" si="6"/>
        <v>0-2 Years</v>
      </c>
      <c r="AO83" t="str">
        <f t="shared" si="7"/>
        <v>26-35 years</v>
      </c>
    </row>
    <row r="84" spans="1:41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4"/>
        <v>1</v>
      </c>
      <c r="AM84" t="str">
        <f t="shared" si="5"/>
        <v>0-2 Years</v>
      </c>
      <c r="AN84" t="str">
        <f t="shared" si="6"/>
        <v>0-2 Years</v>
      </c>
      <c r="AO84" t="str">
        <f t="shared" si="7"/>
        <v>46-55 Years</v>
      </c>
    </row>
    <row r="85" spans="1:41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4"/>
        <v>1</v>
      </c>
      <c r="AM85" t="str">
        <f t="shared" si="5"/>
        <v>11-15 Years</v>
      </c>
      <c r="AN85" t="str">
        <f t="shared" si="6"/>
        <v>0-2 Years</v>
      </c>
      <c r="AO85" t="str">
        <f t="shared" si="7"/>
        <v>36-45 years</v>
      </c>
    </row>
    <row r="86" spans="1:41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4"/>
        <v>1</v>
      </c>
      <c r="AM86" t="str">
        <f t="shared" si="5"/>
        <v>3-5 Years</v>
      </c>
      <c r="AN86" t="str">
        <f t="shared" si="6"/>
        <v>0-2 Years</v>
      </c>
      <c r="AO86" t="str">
        <f t="shared" si="7"/>
        <v>26-35 years</v>
      </c>
    </row>
    <row r="87" spans="1:41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4"/>
        <v>1</v>
      </c>
      <c r="AM87" t="str">
        <f t="shared" si="5"/>
        <v>6-10 Years</v>
      </c>
      <c r="AN87" t="str">
        <f t="shared" si="6"/>
        <v>0-2 Years</v>
      </c>
      <c r="AO87" t="str">
        <f t="shared" si="7"/>
        <v>56+ years</v>
      </c>
    </row>
    <row r="88" spans="1:41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4"/>
        <v>1</v>
      </c>
      <c r="AM88" t="str">
        <f t="shared" si="5"/>
        <v>0-2 Years</v>
      </c>
      <c r="AN88" t="str">
        <f t="shared" si="6"/>
        <v>0-2 Years</v>
      </c>
      <c r="AO88" t="str">
        <f t="shared" si="7"/>
        <v>18-25 years</v>
      </c>
    </row>
    <row r="89" spans="1:41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4"/>
        <v>1</v>
      </c>
      <c r="AM89" t="str">
        <f t="shared" si="5"/>
        <v>3-5 Years</v>
      </c>
      <c r="AN89" t="str">
        <f t="shared" si="6"/>
        <v>0-2 Years</v>
      </c>
      <c r="AO89" t="str">
        <f t="shared" si="7"/>
        <v>46-55 Years</v>
      </c>
    </row>
    <row r="90" spans="1:41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4"/>
        <v>1</v>
      </c>
      <c r="AM90" t="str">
        <f t="shared" si="5"/>
        <v>11-15 Years</v>
      </c>
      <c r="AN90" t="str">
        <f t="shared" si="6"/>
        <v>6-10 Years</v>
      </c>
      <c r="AO90" t="str">
        <f t="shared" si="7"/>
        <v>26-35 years</v>
      </c>
    </row>
    <row r="91" spans="1:41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4"/>
        <v>1</v>
      </c>
      <c r="AM91" t="str">
        <f t="shared" si="5"/>
        <v>6-10 Years</v>
      </c>
      <c r="AN91" t="str">
        <f t="shared" si="6"/>
        <v>3-5 Years</v>
      </c>
      <c r="AO91" t="str">
        <f t="shared" si="7"/>
        <v>46-55 Years</v>
      </c>
    </row>
    <row r="92" spans="1:41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4"/>
        <v>1</v>
      </c>
      <c r="AM92" t="str">
        <f t="shared" si="5"/>
        <v>21+ Years</v>
      </c>
      <c r="AN92" t="str">
        <f t="shared" si="6"/>
        <v>11-15 Years</v>
      </c>
      <c r="AO92" t="str">
        <f t="shared" si="7"/>
        <v>36-45 years</v>
      </c>
    </row>
    <row r="93" spans="1:41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4"/>
        <v>1</v>
      </c>
      <c r="AM93" t="str">
        <f t="shared" si="5"/>
        <v>6-10 Years</v>
      </c>
      <c r="AN93" t="str">
        <f t="shared" si="6"/>
        <v>0-2 Years</v>
      </c>
      <c r="AO93" t="str">
        <f t="shared" si="7"/>
        <v>46-55 Years</v>
      </c>
    </row>
    <row r="94" spans="1:41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4"/>
        <v>1</v>
      </c>
      <c r="AM94" t="str">
        <f t="shared" si="5"/>
        <v>11-15 Years</v>
      </c>
      <c r="AN94" t="str">
        <f t="shared" si="6"/>
        <v>0-2 Years</v>
      </c>
      <c r="AO94" t="str">
        <f t="shared" si="7"/>
        <v>26-35 years</v>
      </c>
    </row>
    <row r="95" spans="1:41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4"/>
        <v>1</v>
      </c>
      <c r="AM95" t="str">
        <f t="shared" si="5"/>
        <v>6-10 Years</v>
      </c>
      <c r="AN95" t="str">
        <f t="shared" si="6"/>
        <v>6-10 Years</v>
      </c>
      <c r="AO95" t="str">
        <f t="shared" si="7"/>
        <v>46-55 Years</v>
      </c>
    </row>
    <row r="96" spans="1:41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4"/>
        <v>1</v>
      </c>
      <c r="AM96" t="str">
        <f t="shared" si="5"/>
        <v>11-15 Years</v>
      </c>
      <c r="AN96" t="str">
        <f t="shared" si="6"/>
        <v>3-5 Years</v>
      </c>
      <c r="AO96" t="str">
        <f t="shared" si="7"/>
        <v>26-35 years</v>
      </c>
    </row>
    <row r="97" spans="1:41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4"/>
        <v>1</v>
      </c>
      <c r="AM97" t="str">
        <f t="shared" si="5"/>
        <v>3-5 Years</v>
      </c>
      <c r="AN97" t="str">
        <f t="shared" si="6"/>
        <v>0-2 Years</v>
      </c>
      <c r="AO97" t="str">
        <f t="shared" si="7"/>
        <v>46-55 Years</v>
      </c>
    </row>
    <row r="98" spans="1:41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4"/>
        <v>1</v>
      </c>
      <c r="AM98" t="str">
        <f t="shared" si="5"/>
        <v>3-5 Years</v>
      </c>
      <c r="AN98" t="str">
        <f t="shared" si="6"/>
        <v>0-2 Years</v>
      </c>
      <c r="AO98" t="str">
        <f t="shared" si="7"/>
        <v>18-25 years</v>
      </c>
    </row>
    <row r="99" spans="1:41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4"/>
        <v>1</v>
      </c>
      <c r="AM99" t="str">
        <f t="shared" si="5"/>
        <v>3-5 Years</v>
      </c>
      <c r="AN99" t="str">
        <f t="shared" si="6"/>
        <v>0-2 Years</v>
      </c>
      <c r="AO99" t="str">
        <f t="shared" si="7"/>
        <v>26-35 years</v>
      </c>
    </row>
    <row r="100" spans="1:41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4"/>
        <v>1</v>
      </c>
      <c r="AM100" t="str">
        <f t="shared" si="5"/>
        <v>21+ Years</v>
      </c>
      <c r="AN100" t="str">
        <f t="shared" si="6"/>
        <v>0-2 Years</v>
      </c>
      <c r="AO100" t="str">
        <f t="shared" si="7"/>
        <v>56+ years</v>
      </c>
    </row>
    <row r="101" spans="1:41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4"/>
        <v>1</v>
      </c>
      <c r="AM101" t="str">
        <f t="shared" si="5"/>
        <v>3-5 Years</v>
      </c>
      <c r="AN101" t="str">
        <f t="shared" si="6"/>
        <v>0-2 Years</v>
      </c>
      <c r="AO101" t="str">
        <f t="shared" si="7"/>
        <v>36-45 years</v>
      </c>
    </row>
    <row r="102" spans="1:41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4"/>
        <v>1</v>
      </c>
      <c r="AM102" t="str">
        <f t="shared" si="5"/>
        <v>3-5 Years</v>
      </c>
      <c r="AN102" t="str">
        <f t="shared" si="6"/>
        <v>0-2 Years</v>
      </c>
      <c r="AO102" t="str">
        <f t="shared" si="7"/>
        <v>36-45 years</v>
      </c>
    </row>
    <row r="103" spans="1:41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4"/>
        <v>1</v>
      </c>
      <c r="AM103" t="str">
        <f t="shared" si="5"/>
        <v>0-2 Years</v>
      </c>
      <c r="AN103" t="str">
        <f t="shared" si="6"/>
        <v>0-2 Years</v>
      </c>
      <c r="AO103" t="str">
        <f t="shared" si="7"/>
        <v>26-35 years</v>
      </c>
    </row>
    <row r="104" spans="1:41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4"/>
        <v>1</v>
      </c>
      <c r="AM104" t="str">
        <f t="shared" si="5"/>
        <v>0-2 Years</v>
      </c>
      <c r="AN104" t="str">
        <f t="shared" si="6"/>
        <v>0-2 Years</v>
      </c>
      <c r="AO104" t="str">
        <f t="shared" si="7"/>
        <v>18-25 years</v>
      </c>
    </row>
    <row r="105" spans="1:41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4"/>
        <v>1</v>
      </c>
      <c r="AM105" t="str">
        <f t="shared" si="5"/>
        <v>16-20 Years</v>
      </c>
      <c r="AN105" t="str">
        <f t="shared" si="6"/>
        <v>0-2 Years</v>
      </c>
      <c r="AO105" t="str">
        <f t="shared" si="7"/>
        <v>26-35 years</v>
      </c>
    </row>
    <row r="106" spans="1:41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4"/>
        <v>1</v>
      </c>
      <c r="AM106" t="str">
        <f t="shared" si="5"/>
        <v>0-2 Years</v>
      </c>
      <c r="AN106" t="str">
        <f t="shared" si="6"/>
        <v>0-2 Years</v>
      </c>
      <c r="AO106" t="str">
        <f t="shared" si="7"/>
        <v>36-45 years</v>
      </c>
    </row>
    <row r="107" spans="1:41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4"/>
        <v>1</v>
      </c>
      <c r="AM107" t="str">
        <f t="shared" si="5"/>
        <v>3-5 Years</v>
      </c>
      <c r="AN107" t="str">
        <f t="shared" si="6"/>
        <v>0-2 Years</v>
      </c>
      <c r="AO107" t="str">
        <f t="shared" si="7"/>
        <v>56+ years</v>
      </c>
    </row>
    <row r="108" spans="1:41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4"/>
        <v>1</v>
      </c>
      <c r="AM108" t="str">
        <f t="shared" si="5"/>
        <v>6-10 Years</v>
      </c>
      <c r="AN108" t="str">
        <f t="shared" si="6"/>
        <v>0-2 Years</v>
      </c>
      <c r="AO108" t="str">
        <f t="shared" si="7"/>
        <v>46-55 Years</v>
      </c>
    </row>
    <row r="109" spans="1:41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4"/>
        <v>1</v>
      </c>
      <c r="AM109" t="str">
        <f t="shared" si="5"/>
        <v>6-10 Years</v>
      </c>
      <c r="AN109" t="str">
        <f t="shared" si="6"/>
        <v>0-2 Years</v>
      </c>
      <c r="AO109" t="str">
        <f t="shared" si="7"/>
        <v>18-25 years</v>
      </c>
    </row>
    <row r="110" spans="1:41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4"/>
        <v>1</v>
      </c>
      <c r="AM110" t="str">
        <f t="shared" si="5"/>
        <v>0-2 Years</v>
      </c>
      <c r="AN110" t="str">
        <f t="shared" si="6"/>
        <v>0-2 Years</v>
      </c>
      <c r="AO110" t="str">
        <f t="shared" si="7"/>
        <v>18-25 years</v>
      </c>
    </row>
    <row r="111" spans="1:41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4"/>
        <v>1</v>
      </c>
      <c r="AM111" t="str">
        <f t="shared" si="5"/>
        <v>0-2 Years</v>
      </c>
      <c r="AN111" t="str">
        <f t="shared" si="6"/>
        <v>0-2 Years</v>
      </c>
      <c r="AO111" t="str">
        <f t="shared" si="7"/>
        <v>18-25 years</v>
      </c>
    </row>
    <row r="112" spans="1:41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4"/>
        <v>1</v>
      </c>
      <c r="AM112" t="str">
        <f t="shared" si="5"/>
        <v>11-15 Years</v>
      </c>
      <c r="AN112" t="str">
        <f t="shared" si="6"/>
        <v>11-15 Years</v>
      </c>
      <c r="AO112" t="str">
        <f t="shared" si="7"/>
        <v>46-55 Years</v>
      </c>
    </row>
    <row r="113" spans="1:41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4"/>
        <v>1</v>
      </c>
      <c r="AM113" t="str">
        <f t="shared" si="5"/>
        <v>6-10 Years</v>
      </c>
      <c r="AN113" t="str">
        <f t="shared" si="6"/>
        <v>0-2 Years</v>
      </c>
      <c r="AO113" t="str">
        <f t="shared" si="7"/>
        <v>26-35 years</v>
      </c>
    </row>
    <row r="114" spans="1:41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4"/>
        <v>1</v>
      </c>
      <c r="AM114" t="str">
        <f t="shared" si="5"/>
        <v>3-5 Years</v>
      </c>
      <c r="AN114" t="str">
        <f t="shared" si="6"/>
        <v>3-5 Years</v>
      </c>
      <c r="AO114" t="str">
        <f t="shared" si="7"/>
        <v>46-55 Years</v>
      </c>
    </row>
    <row r="115" spans="1:41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4"/>
        <v>1</v>
      </c>
      <c r="AM115" t="str">
        <f t="shared" si="5"/>
        <v>3-5 Years</v>
      </c>
      <c r="AN115" t="str">
        <f t="shared" si="6"/>
        <v>0-2 Years</v>
      </c>
      <c r="AO115" t="str">
        <f t="shared" si="7"/>
        <v>18-25 years</v>
      </c>
    </row>
    <row r="116" spans="1:41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4"/>
        <v>1</v>
      </c>
      <c r="AM116" t="str">
        <f t="shared" si="5"/>
        <v>0-2 Years</v>
      </c>
      <c r="AN116" t="str">
        <f t="shared" si="6"/>
        <v>0-2 Years</v>
      </c>
      <c r="AO116" t="str">
        <f t="shared" si="7"/>
        <v>26-35 years</v>
      </c>
    </row>
    <row r="117" spans="1:41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4"/>
        <v>1</v>
      </c>
      <c r="AM117" t="str">
        <f t="shared" si="5"/>
        <v>3-5 Years</v>
      </c>
      <c r="AN117" t="str">
        <f t="shared" si="6"/>
        <v>0-2 Years</v>
      </c>
      <c r="AO117" t="str">
        <f t="shared" si="7"/>
        <v>36-45 years</v>
      </c>
    </row>
    <row r="118" spans="1:41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4"/>
        <v>1</v>
      </c>
      <c r="AM118" t="str">
        <f t="shared" si="5"/>
        <v>11-15 Years</v>
      </c>
      <c r="AN118" t="str">
        <f t="shared" si="6"/>
        <v>3-5 Years</v>
      </c>
      <c r="AO118" t="str">
        <f t="shared" si="7"/>
        <v>26-35 years</v>
      </c>
    </row>
    <row r="119" spans="1:41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4"/>
        <v>1</v>
      </c>
      <c r="AM119" t="str">
        <f t="shared" si="5"/>
        <v>6-10 Years</v>
      </c>
      <c r="AN119" t="str">
        <f t="shared" si="6"/>
        <v>0-2 Years</v>
      </c>
      <c r="AO119" t="str">
        <f t="shared" si="7"/>
        <v>36-45 years</v>
      </c>
    </row>
    <row r="120" spans="1:41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4"/>
        <v>1</v>
      </c>
      <c r="AM120" t="str">
        <f t="shared" si="5"/>
        <v>0-2 Years</v>
      </c>
      <c r="AN120" t="str">
        <f t="shared" si="6"/>
        <v>0-2 Years</v>
      </c>
      <c r="AO120" t="str">
        <f t="shared" si="7"/>
        <v>36-45 years</v>
      </c>
    </row>
    <row r="121" spans="1:41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4"/>
        <v>1</v>
      </c>
      <c r="AM121" t="str">
        <f t="shared" si="5"/>
        <v>21+ Years</v>
      </c>
      <c r="AN121" t="str">
        <f t="shared" si="6"/>
        <v>3-5 Years</v>
      </c>
      <c r="AO121" t="str">
        <f t="shared" si="7"/>
        <v>36-45 years</v>
      </c>
    </row>
    <row r="122" spans="1:41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4"/>
        <v>1</v>
      </c>
      <c r="AM122" t="str">
        <f t="shared" si="5"/>
        <v>6-10 Years</v>
      </c>
      <c r="AN122" t="str">
        <f t="shared" si="6"/>
        <v>0-2 Years</v>
      </c>
      <c r="AO122" t="str">
        <f t="shared" si="7"/>
        <v>26-35 years</v>
      </c>
    </row>
    <row r="123" spans="1:41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4"/>
        <v>1</v>
      </c>
      <c r="AM123" t="str">
        <f t="shared" si="5"/>
        <v>6-10 Years</v>
      </c>
      <c r="AN123" t="str">
        <f t="shared" si="6"/>
        <v>0-2 Years</v>
      </c>
      <c r="AO123" t="str">
        <f t="shared" si="7"/>
        <v>26-35 years</v>
      </c>
    </row>
    <row r="124" spans="1:41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4"/>
        <v>1</v>
      </c>
      <c r="AM124" t="str">
        <f t="shared" si="5"/>
        <v>3-5 Years</v>
      </c>
      <c r="AN124" t="str">
        <f t="shared" si="6"/>
        <v>3-5 Years</v>
      </c>
      <c r="AO124" t="str">
        <f t="shared" si="7"/>
        <v>56+ years</v>
      </c>
    </row>
    <row r="125" spans="1:41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4"/>
        <v>1</v>
      </c>
      <c r="AM125" t="str">
        <f t="shared" si="5"/>
        <v>16-20 Years</v>
      </c>
      <c r="AN125" t="str">
        <f t="shared" si="6"/>
        <v>11-15 Years</v>
      </c>
      <c r="AO125" t="str">
        <f t="shared" si="7"/>
        <v>46-55 Years</v>
      </c>
    </row>
    <row r="126" spans="1:41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4"/>
        <v>1</v>
      </c>
      <c r="AM126" t="str">
        <f t="shared" si="5"/>
        <v>6-10 Years</v>
      </c>
      <c r="AN126" t="str">
        <f t="shared" si="6"/>
        <v>6-10 Years</v>
      </c>
      <c r="AO126" t="str">
        <f t="shared" si="7"/>
        <v>26-35 years</v>
      </c>
    </row>
    <row r="127" spans="1:41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4"/>
        <v>1</v>
      </c>
      <c r="AM127" t="str">
        <f t="shared" si="5"/>
        <v>3-5 Years</v>
      </c>
      <c r="AN127" t="str">
        <f t="shared" si="6"/>
        <v>3-5 Years</v>
      </c>
      <c r="AO127" t="str">
        <f t="shared" si="7"/>
        <v>26-35 years</v>
      </c>
    </row>
    <row r="128" spans="1:41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4"/>
        <v>1</v>
      </c>
      <c r="AM128" t="str">
        <f t="shared" si="5"/>
        <v>21+ Years</v>
      </c>
      <c r="AN128" t="str">
        <f t="shared" si="6"/>
        <v>11-15 Years</v>
      </c>
      <c r="AO128" t="str">
        <f t="shared" si="7"/>
        <v>56+ years</v>
      </c>
    </row>
    <row r="129" spans="1:41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4"/>
        <v>1</v>
      </c>
      <c r="AM129" t="str">
        <f t="shared" si="5"/>
        <v>0-2 Years</v>
      </c>
      <c r="AN129" t="str">
        <f t="shared" si="6"/>
        <v>0-2 Years</v>
      </c>
      <c r="AO129" t="str">
        <f t="shared" si="7"/>
        <v>18-25 years</v>
      </c>
    </row>
    <row r="130" spans="1:41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si="4"/>
        <v>1</v>
      </c>
      <c r="AM130" t="str">
        <f t="shared" si="5"/>
        <v>0-2 Years</v>
      </c>
      <c r="AN130" t="str">
        <f t="shared" si="6"/>
        <v>0-2 Years</v>
      </c>
      <c r="AO130" t="str">
        <f t="shared" si="7"/>
        <v>18-25 years</v>
      </c>
    </row>
    <row r="131" spans="1:41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ref="AJ131:AJ194" si="8">COUNTIFS($A$2:$A$1471,A131,$B$2:$B$1471,B131,$C$2:$C$1471,C131,$D$2:$D$1471,D131,$E$2:$E$1471,E131,$F$2:$F$1471,F131,$G$2:$G$1471,G131,$H$2:$H$1471,H131,$I$2:$I$1471,I131,$J$2:$J$1471,J131,$K$2:$K$1471,K131,$L$2:$L$1471,L131,$M$2:$M$1471,M131,$N$2:$N$1471,N131,$O$2:$O$1471,O131,$P$2:$P$1471,P131,$Q$2:$Q$1471,Q131,$R$2:$R$1471,R131,$S$2:$S$1471,S131,$T$2:$T$1471,T131,$U$2:$U$1471,U131,$V$2:$V$1471,V131,$W$2:$W$1471,W131,$X$2:$X$1471,X131,$Y$2:$Y$1471,Y131,$Z$2:$Z$1471,Z131,$AA$2:$AA$1471,AA131,$AB$2:$AB$1471,AB131,$AC$2:$AC$1471,AC131,$AD$2:$AD$1471,AD131,$AE$2:$AE$1471,AE131,$AF$2:$AF$1471,AF131,$AG$2:$AG$1471,AG131,$AH$2:$AH$1471,AH131,$AI$2:$AI$1471,AI131)</f>
        <v>1</v>
      </c>
      <c r="AM131" t="str">
        <f t="shared" ref="AM131:AM194" si="9">IF(AF131&lt;=2,"0-2 Years",IF(AF131&lt;=5,"3-5 Years",IF(AF131&lt;=10,"6-10 Years",IF(AF131&lt;=15,"11-15 Years",IF(AF131&lt;=20,"16-20 Years","21+ Years")))))</f>
        <v>11-15 Years</v>
      </c>
      <c r="AN131" t="str">
        <f t="shared" ref="AN131:AN194" si="10">IF(AH131&lt;=2,"0-2 Years",IF(AH131&lt;=5,"3-5 Years",IF(AH131&lt;=10,"6-10 Years","11-15 Years")))</f>
        <v>3-5 Years</v>
      </c>
      <c r="AO131" t="str">
        <f t="shared" ref="AO131:AO194" si="11">IF(A131&lt;=25,"18-25 years",IF(A131&lt;=35,"26-35 years",IF(A131&lt;=45,"36-45 years",IF(A131&lt;=55,"46-55 Years","56+ years"))))</f>
        <v>46-55 Years</v>
      </c>
    </row>
    <row r="132" spans="1:41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8"/>
        <v>1</v>
      </c>
      <c r="AM132" t="str">
        <f t="shared" si="9"/>
        <v>3-5 Years</v>
      </c>
      <c r="AN132" t="str">
        <f t="shared" si="10"/>
        <v>0-2 Years</v>
      </c>
      <c r="AO132" t="str">
        <f t="shared" si="11"/>
        <v>36-45 years</v>
      </c>
    </row>
    <row r="133" spans="1:41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8"/>
        <v>1</v>
      </c>
      <c r="AM133" t="str">
        <f t="shared" si="9"/>
        <v>0-2 Years</v>
      </c>
      <c r="AN133" t="str">
        <f t="shared" si="10"/>
        <v>0-2 Years</v>
      </c>
      <c r="AO133" t="str">
        <f t="shared" si="11"/>
        <v>46-55 Years</v>
      </c>
    </row>
    <row r="134" spans="1:41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8"/>
        <v>1</v>
      </c>
      <c r="AM134" t="str">
        <f t="shared" si="9"/>
        <v>0-2 Years</v>
      </c>
      <c r="AN134" t="str">
        <f t="shared" si="10"/>
        <v>0-2 Years</v>
      </c>
      <c r="AO134" t="str">
        <f t="shared" si="11"/>
        <v>26-35 years</v>
      </c>
    </row>
    <row r="135" spans="1:41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8"/>
        <v>1</v>
      </c>
      <c r="AM135" t="str">
        <f t="shared" si="9"/>
        <v>6-10 Years</v>
      </c>
      <c r="AN135" t="str">
        <f t="shared" si="10"/>
        <v>0-2 Years</v>
      </c>
      <c r="AO135" t="str">
        <f t="shared" si="11"/>
        <v>36-45 years</v>
      </c>
    </row>
    <row r="136" spans="1:41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8"/>
        <v>1</v>
      </c>
      <c r="AM136" t="str">
        <f t="shared" si="9"/>
        <v>6-10 Years</v>
      </c>
      <c r="AN136" t="str">
        <f t="shared" si="10"/>
        <v>3-5 Years</v>
      </c>
      <c r="AO136" t="str">
        <f t="shared" si="11"/>
        <v>26-35 years</v>
      </c>
    </row>
    <row r="137" spans="1:41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8"/>
        <v>1</v>
      </c>
      <c r="AM137" t="str">
        <f t="shared" si="9"/>
        <v>3-5 Years</v>
      </c>
      <c r="AN137" t="str">
        <f t="shared" si="10"/>
        <v>0-2 Years</v>
      </c>
      <c r="AO137" t="str">
        <f t="shared" si="11"/>
        <v>36-45 years</v>
      </c>
    </row>
    <row r="138" spans="1:41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8"/>
        <v>1</v>
      </c>
      <c r="AM138" t="str">
        <f t="shared" si="9"/>
        <v>3-5 Years</v>
      </c>
      <c r="AN138" t="str">
        <f t="shared" si="10"/>
        <v>0-2 Years</v>
      </c>
      <c r="AO138" t="str">
        <f t="shared" si="11"/>
        <v>46-55 Years</v>
      </c>
    </row>
    <row r="139" spans="1:41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8"/>
        <v>1</v>
      </c>
      <c r="AM139" t="str">
        <f t="shared" si="9"/>
        <v>11-15 Years</v>
      </c>
      <c r="AN139" t="str">
        <f t="shared" si="10"/>
        <v>3-5 Years</v>
      </c>
      <c r="AO139" t="str">
        <f t="shared" si="11"/>
        <v>36-45 years</v>
      </c>
    </row>
    <row r="140" spans="1:41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8"/>
        <v>1</v>
      </c>
      <c r="AM140" t="str">
        <f t="shared" si="9"/>
        <v>0-2 Years</v>
      </c>
      <c r="AN140" t="str">
        <f t="shared" si="10"/>
        <v>0-2 Years</v>
      </c>
      <c r="AO140" t="str">
        <f t="shared" si="11"/>
        <v>18-25 years</v>
      </c>
    </row>
    <row r="141" spans="1:41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8"/>
        <v>1</v>
      </c>
      <c r="AM141" t="str">
        <f t="shared" si="9"/>
        <v>11-15 Years</v>
      </c>
      <c r="AN141" t="str">
        <f t="shared" si="10"/>
        <v>3-5 Years</v>
      </c>
      <c r="AO141" t="str">
        <f t="shared" si="11"/>
        <v>26-35 years</v>
      </c>
    </row>
    <row r="142" spans="1:41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8"/>
        <v>1</v>
      </c>
      <c r="AM142" t="str">
        <f t="shared" si="9"/>
        <v>3-5 Years</v>
      </c>
      <c r="AN142" t="str">
        <f t="shared" si="10"/>
        <v>0-2 Years</v>
      </c>
      <c r="AO142" t="str">
        <f t="shared" si="11"/>
        <v>26-35 years</v>
      </c>
    </row>
    <row r="143" spans="1:41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8"/>
        <v>1</v>
      </c>
      <c r="AM143" t="str">
        <f t="shared" si="9"/>
        <v>6-10 Years</v>
      </c>
      <c r="AN143" t="str">
        <f t="shared" si="10"/>
        <v>0-2 Years</v>
      </c>
      <c r="AO143" t="str">
        <f t="shared" si="11"/>
        <v>36-45 years</v>
      </c>
    </row>
    <row r="144" spans="1:41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8"/>
        <v>1</v>
      </c>
      <c r="AM144" t="str">
        <f t="shared" si="9"/>
        <v>3-5 Years</v>
      </c>
      <c r="AN144" t="str">
        <f t="shared" si="10"/>
        <v>0-2 Years</v>
      </c>
      <c r="AO144" t="str">
        <f t="shared" si="11"/>
        <v>36-45 years</v>
      </c>
    </row>
    <row r="145" spans="1:41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8"/>
        <v>1</v>
      </c>
      <c r="AM145" t="str">
        <f t="shared" si="9"/>
        <v>3-5 Years</v>
      </c>
      <c r="AN145" t="str">
        <f t="shared" si="10"/>
        <v>0-2 Years</v>
      </c>
      <c r="AO145" t="str">
        <f t="shared" si="11"/>
        <v>26-35 years</v>
      </c>
    </row>
    <row r="146" spans="1:41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8"/>
        <v>1</v>
      </c>
      <c r="AM146" t="str">
        <f t="shared" si="9"/>
        <v>6-10 Years</v>
      </c>
      <c r="AN146" t="str">
        <f t="shared" si="10"/>
        <v>0-2 Years</v>
      </c>
      <c r="AO146" t="str">
        <f t="shared" si="11"/>
        <v>26-35 years</v>
      </c>
    </row>
    <row r="147" spans="1:41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8"/>
        <v>1</v>
      </c>
      <c r="AM147" t="str">
        <f t="shared" si="9"/>
        <v>3-5 Years</v>
      </c>
      <c r="AN147" t="str">
        <f t="shared" si="10"/>
        <v>0-2 Years</v>
      </c>
      <c r="AO147" t="str">
        <f t="shared" si="11"/>
        <v>26-35 years</v>
      </c>
    </row>
    <row r="148" spans="1:41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8"/>
        <v>1</v>
      </c>
      <c r="AM148" t="str">
        <f t="shared" si="9"/>
        <v>3-5 Years</v>
      </c>
      <c r="AN148" t="str">
        <f t="shared" si="10"/>
        <v>0-2 Years</v>
      </c>
      <c r="AO148" t="str">
        <f t="shared" si="11"/>
        <v>26-35 years</v>
      </c>
    </row>
    <row r="149" spans="1:41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8"/>
        <v>1</v>
      </c>
      <c r="AM149" t="str">
        <f t="shared" si="9"/>
        <v>6-10 Years</v>
      </c>
      <c r="AN149" t="str">
        <f t="shared" si="10"/>
        <v>6-10 Years</v>
      </c>
      <c r="AO149" t="str">
        <f t="shared" si="11"/>
        <v>36-45 years</v>
      </c>
    </row>
    <row r="150" spans="1:41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8"/>
        <v>1</v>
      </c>
      <c r="AM150" t="str">
        <f t="shared" si="9"/>
        <v>3-5 Years</v>
      </c>
      <c r="AN150" t="str">
        <f t="shared" si="10"/>
        <v>0-2 Years</v>
      </c>
      <c r="AO150" t="str">
        <f t="shared" si="11"/>
        <v>36-45 years</v>
      </c>
    </row>
    <row r="151" spans="1:41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8"/>
        <v>1</v>
      </c>
      <c r="AM151" t="str">
        <f t="shared" si="9"/>
        <v>0-2 Years</v>
      </c>
      <c r="AN151" t="str">
        <f t="shared" si="10"/>
        <v>0-2 Years</v>
      </c>
      <c r="AO151" t="str">
        <f t="shared" si="11"/>
        <v>18-25 years</v>
      </c>
    </row>
    <row r="152" spans="1:41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8"/>
        <v>1</v>
      </c>
      <c r="AM152" t="str">
        <f t="shared" si="9"/>
        <v>16-20 Years</v>
      </c>
      <c r="AN152" t="str">
        <f t="shared" si="10"/>
        <v>0-2 Years</v>
      </c>
      <c r="AO152" t="str">
        <f t="shared" si="11"/>
        <v>36-45 years</v>
      </c>
    </row>
    <row r="153" spans="1:41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8"/>
        <v>1</v>
      </c>
      <c r="AM153" t="str">
        <f t="shared" si="9"/>
        <v>6-10 Years</v>
      </c>
      <c r="AN153" t="str">
        <f t="shared" si="10"/>
        <v>0-2 Years</v>
      </c>
      <c r="AO153" t="str">
        <f t="shared" si="11"/>
        <v>26-35 years</v>
      </c>
    </row>
    <row r="154" spans="1:41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8"/>
        <v>1</v>
      </c>
      <c r="AM154" t="str">
        <f t="shared" si="9"/>
        <v>6-10 Years</v>
      </c>
      <c r="AN154" t="str">
        <f t="shared" si="10"/>
        <v>3-5 Years</v>
      </c>
      <c r="AO154" t="str">
        <f t="shared" si="11"/>
        <v>46-55 Years</v>
      </c>
    </row>
    <row r="155" spans="1:41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8"/>
        <v>1</v>
      </c>
      <c r="AM155" t="str">
        <f t="shared" si="9"/>
        <v>16-20 Years</v>
      </c>
      <c r="AN155" t="str">
        <f t="shared" si="10"/>
        <v>0-2 Years</v>
      </c>
      <c r="AO155" t="str">
        <f t="shared" si="11"/>
        <v>36-45 years</v>
      </c>
    </row>
    <row r="156" spans="1:41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8"/>
        <v>1</v>
      </c>
      <c r="AM156" t="str">
        <f t="shared" si="9"/>
        <v>6-10 Years</v>
      </c>
      <c r="AN156" t="str">
        <f t="shared" si="10"/>
        <v>3-5 Years</v>
      </c>
      <c r="AO156" t="str">
        <f t="shared" si="11"/>
        <v>26-35 years</v>
      </c>
    </row>
    <row r="157" spans="1:41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8"/>
        <v>1</v>
      </c>
      <c r="AM157" t="str">
        <f t="shared" si="9"/>
        <v>6-10 Years</v>
      </c>
      <c r="AN157" t="str">
        <f t="shared" si="10"/>
        <v>0-2 Years</v>
      </c>
      <c r="AO157" t="str">
        <f t="shared" si="11"/>
        <v>26-35 years</v>
      </c>
    </row>
    <row r="158" spans="1:41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8"/>
        <v>1</v>
      </c>
      <c r="AM158" t="str">
        <f t="shared" si="9"/>
        <v>0-2 Years</v>
      </c>
      <c r="AN158" t="str">
        <f t="shared" si="10"/>
        <v>0-2 Years</v>
      </c>
      <c r="AO158" t="str">
        <f t="shared" si="11"/>
        <v>46-55 Years</v>
      </c>
    </row>
    <row r="159" spans="1:41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8"/>
        <v>1</v>
      </c>
      <c r="AM159" t="str">
        <f t="shared" si="9"/>
        <v>0-2 Years</v>
      </c>
      <c r="AN159" t="str">
        <f t="shared" si="10"/>
        <v>0-2 Years</v>
      </c>
      <c r="AO159" t="str">
        <f t="shared" si="11"/>
        <v>56+ years</v>
      </c>
    </row>
    <row r="160" spans="1:41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8"/>
        <v>1</v>
      </c>
      <c r="AM160" t="str">
        <f t="shared" si="9"/>
        <v>11-15 Years</v>
      </c>
      <c r="AN160" t="str">
        <f t="shared" si="10"/>
        <v>0-2 Years</v>
      </c>
      <c r="AO160" t="str">
        <f t="shared" si="11"/>
        <v>36-45 years</v>
      </c>
    </row>
    <row r="161" spans="1:41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8"/>
        <v>1</v>
      </c>
      <c r="AM161" t="str">
        <f t="shared" si="9"/>
        <v>3-5 Years</v>
      </c>
      <c r="AN161" t="str">
        <f t="shared" si="10"/>
        <v>0-2 Years</v>
      </c>
      <c r="AO161" t="str">
        <f t="shared" si="11"/>
        <v>26-35 years</v>
      </c>
    </row>
    <row r="162" spans="1:41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8"/>
        <v>1</v>
      </c>
      <c r="AM162" t="str">
        <f t="shared" si="9"/>
        <v>0-2 Years</v>
      </c>
      <c r="AN162" t="str">
        <f t="shared" si="10"/>
        <v>0-2 Years</v>
      </c>
      <c r="AO162" t="str">
        <f t="shared" si="11"/>
        <v>18-25 years</v>
      </c>
    </row>
    <row r="163" spans="1:41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8"/>
        <v>1</v>
      </c>
      <c r="AM163" t="str">
        <f t="shared" si="9"/>
        <v>0-2 Years</v>
      </c>
      <c r="AN163" t="str">
        <f t="shared" si="10"/>
        <v>0-2 Years</v>
      </c>
      <c r="AO163" t="str">
        <f t="shared" si="11"/>
        <v>26-35 years</v>
      </c>
    </row>
    <row r="164" spans="1:41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8"/>
        <v>1</v>
      </c>
      <c r="AM164" t="str">
        <f t="shared" si="9"/>
        <v>3-5 Years</v>
      </c>
      <c r="AN164" t="str">
        <f t="shared" si="10"/>
        <v>0-2 Years</v>
      </c>
      <c r="AO164" t="str">
        <f t="shared" si="11"/>
        <v>26-35 years</v>
      </c>
    </row>
    <row r="165" spans="1:41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8"/>
        <v>1</v>
      </c>
      <c r="AM165" t="str">
        <f t="shared" si="9"/>
        <v>3-5 Years</v>
      </c>
      <c r="AN165" t="str">
        <f t="shared" si="10"/>
        <v>0-2 Years</v>
      </c>
      <c r="AO165" t="str">
        <f t="shared" si="11"/>
        <v>56+ years</v>
      </c>
    </row>
    <row r="166" spans="1:41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8"/>
        <v>1</v>
      </c>
      <c r="AM166" t="str">
        <f t="shared" si="9"/>
        <v>0-2 Years</v>
      </c>
      <c r="AN166" t="str">
        <f t="shared" si="10"/>
        <v>0-2 Years</v>
      </c>
      <c r="AO166" t="str">
        <f t="shared" si="11"/>
        <v>26-35 years</v>
      </c>
    </row>
    <row r="167" spans="1:41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8"/>
        <v>1</v>
      </c>
      <c r="AM167" t="str">
        <f t="shared" si="9"/>
        <v>3-5 Years</v>
      </c>
      <c r="AN167" t="str">
        <f t="shared" si="10"/>
        <v>3-5 Years</v>
      </c>
      <c r="AO167" t="str">
        <f t="shared" si="11"/>
        <v>46-55 Years</v>
      </c>
    </row>
    <row r="168" spans="1:41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8"/>
        <v>1</v>
      </c>
      <c r="AM168" t="str">
        <f t="shared" si="9"/>
        <v>6-10 Years</v>
      </c>
      <c r="AN168" t="str">
        <f t="shared" si="10"/>
        <v>0-2 Years</v>
      </c>
      <c r="AO168" t="str">
        <f t="shared" si="11"/>
        <v>36-45 years</v>
      </c>
    </row>
    <row r="169" spans="1:41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8"/>
        <v>1</v>
      </c>
      <c r="AM169" t="str">
        <f t="shared" si="9"/>
        <v>6-10 Years</v>
      </c>
      <c r="AN169" t="str">
        <f t="shared" si="10"/>
        <v>6-10 Years</v>
      </c>
      <c r="AO169" t="str">
        <f t="shared" si="11"/>
        <v>26-35 years</v>
      </c>
    </row>
    <row r="170" spans="1:41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8"/>
        <v>1</v>
      </c>
      <c r="AM170" t="str">
        <f t="shared" si="9"/>
        <v>6-10 Years</v>
      </c>
      <c r="AN170" t="str">
        <f t="shared" si="10"/>
        <v>0-2 Years</v>
      </c>
      <c r="AO170" t="str">
        <f t="shared" si="11"/>
        <v>36-45 years</v>
      </c>
    </row>
    <row r="171" spans="1:41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8"/>
        <v>1</v>
      </c>
      <c r="AM171" t="str">
        <f t="shared" si="9"/>
        <v>3-5 Years</v>
      </c>
      <c r="AN171" t="str">
        <f t="shared" si="10"/>
        <v>0-2 Years</v>
      </c>
      <c r="AO171" t="str">
        <f t="shared" si="11"/>
        <v>26-35 years</v>
      </c>
    </row>
    <row r="172" spans="1:41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8"/>
        <v>1</v>
      </c>
      <c r="AM172" t="str">
        <f t="shared" si="9"/>
        <v>3-5 Years</v>
      </c>
      <c r="AN172" t="str">
        <f t="shared" si="10"/>
        <v>0-2 Years</v>
      </c>
      <c r="AO172" t="str">
        <f t="shared" si="11"/>
        <v>26-35 years</v>
      </c>
    </row>
    <row r="173" spans="1:41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8"/>
        <v>1</v>
      </c>
      <c r="AM173" t="str">
        <f t="shared" si="9"/>
        <v>0-2 Years</v>
      </c>
      <c r="AN173" t="str">
        <f t="shared" si="10"/>
        <v>0-2 Years</v>
      </c>
      <c r="AO173" t="str">
        <f t="shared" si="11"/>
        <v>18-25 years</v>
      </c>
    </row>
    <row r="174" spans="1:41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8"/>
        <v>1</v>
      </c>
      <c r="AM174" t="str">
        <f t="shared" si="9"/>
        <v>6-10 Years</v>
      </c>
      <c r="AN174" t="str">
        <f t="shared" si="10"/>
        <v>6-10 Years</v>
      </c>
      <c r="AO174" t="str">
        <f t="shared" si="11"/>
        <v>36-45 years</v>
      </c>
    </row>
    <row r="175" spans="1:41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8"/>
        <v>1</v>
      </c>
      <c r="AM175" t="str">
        <f t="shared" si="9"/>
        <v>11-15 Years</v>
      </c>
      <c r="AN175" t="str">
        <f t="shared" si="10"/>
        <v>6-10 Years</v>
      </c>
      <c r="AO175" t="str">
        <f t="shared" si="11"/>
        <v>26-35 years</v>
      </c>
    </row>
    <row r="176" spans="1:41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8"/>
        <v>1</v>
      </c>
      <c r="AM176" t="str">
        <f t="shared" si="9"/>
        <v>3-5 Years</v>
      </c>
      <c r="AN176" t="str">
        <f t="shared" si="10"/>
        <v>0-2 Years</v>
      </c>
      <c r="AO176" t="str">
        <f t="shared" si="11"/>
        <v>36-45 years</v>
      </c>
    </row>
    <row r="177" spans="1:41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8"/>
        <v>1</v>
      </c>
      <c r="AM177" t="str">
        <f t="shared" si="9"/>
        <v>0-2 Years</v>
      </c>
      <c r="AN177" t="str">
        <f t="shared" si="10"/>
        <v>0-2 Years</v>
      </c>
      <c r="AO177" t="str">
        <f t="shared" si="11"/>
        <v>56+ years</v>
      </c>
    </row>
    <row r="178" spans="1:41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8"/>
        <v>1</v>
      </c>
      <c r="AM178" t="str">
        <f t="shared" si="9"/>
        <v>3-5 Years</v>
      </c>
      <c r="AN178" t="str">
        <f t="shared" si="10"/>
        <v>0-2 Years</v>
      </c>
      <c r="AO178" t="str">
        <f t="shared" si="11"/>
        <v>26-35 years</v>
      </c>
    </row>
    <row r="179" spans="1:41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8"/>
        <v>1</v>
      </c>
      <c r="AM179" t="str">
        <f t="shared" si="9"/>
        <v>0-2 Years</v>
      </c>
      <c r="AN179" t="str">
        <f t="shared" si="10"/>
        <v>0-2 Years</v>
      </c>
      <c r="AO179" t="str">
        <f t="shared" si="11"/>
        <v>18-25 years</v>
      </c>
    </row>
    <row r="180" spans="1:41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8"/>
        <v>1</v>
      </c>
      <c r="AM180" t="str">
        <f t="shared" si="9"/>
        <v>21+ Years</v>
      </c>
      <c r="AN180" t="str">
        <f t="shared" si="10"/>
        <v>11-15 Years</v>
      </c>
      <c r="AO180" t="str">
        <f t="shared" si="11"/>
        <v>46-55 Years</v>
      </c>
    </row>
    <row r="181" spans="1:41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8"/>
        <v>1</v>
      </c>
      <c r="AM181" t="str">
        <f t="shared" si="9"/>
        <v>0-2 Years</v>
      </c>
      <c r="AN181" t="str">
        <f t="shared" si="10"/>
        <v>0-2 Years</v>
      </c>
      <c r="AO181" t="str">
        <f t="shared" si="11"/>
        <v>36-45 years</v>
      </c>
    </row>
    <row r="182" spans="1:41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8"/>
        <v>1</v>
      </c>
      <c r="AM182" t="str">
        <f t="shared" si="9"/>
        <v>3-5 Years</v>
      </c>
      <c r="AN182" t="str">
        <f t="shared" si="10"/>
        <v>0-2 Years</v>
      </c>
      <c r="AO182" t="str">
        <f t="shared" si="11"/>
        <v>26-35 years</v>
      </c>
    </row>
    <row r="183" spans="1:41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8"/>
        <v>1</v>
      </c>
      <c r="AM183" t="str">
        <f t="shared" si="9"/>
        <v>3-5 Years</v>
      </c>
      <c r="AN183" t="str">
        <f t="shared" si="10"/>
        <v>0-2 Years</v>
      </c>
      <c r="AO183" t="str">
        <f t="shared" si="11"/>
        <v>26-35 years</v>
      </c>
    </row>
    <row r="184" spans="1:41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8"/>
        <v>1</v>
      </c>
      <c r="AM184" t="str">
        <f t="shared" si="9"/>
        <v>3-5 Years</v>
      </c>
      <c r="AN184" t="str">
        <f t="shared" si="10"/>
        <v>0-2 Years</v>
      </c>
      <c r="AO184" t="str">
        <f t="shared" si="11"/>
        <v>36-45 years</v>
      </c>
    </row>
    <row r="185" spans="1:41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8"/>
        <v>1</v>
      </c>
      <c r="AM185" t="str">
        <f t="shared" si="9"/>
        <v>3-5 Years</v>
      </c>
      <c r="AN185" t="str">
        <f t="shared" si="10"/>
        <v>0-2 Years</v>
      </c>
      <c r="AO185" t="str">
        <f t="shared" si="11"/>
        <v>46-55 Years</v>
      </c>
    </row>
    <row r="186" spans="1:41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8"/>
        <v>1</v>
      </c>
      <c r="AM186" t="str">
        <f t="shared" si="9"/>
        <v>3-5 Years</v>
      </c>
      <c r="AN186" t="str">
        <f t="shared" si="10"/>
        <v>0-2 Years</v>
      </c>
      <c r="AO186" t="str">
        <f t="shared" si="11"/>
        <v>46-55 Years</v>
      </c>
    </row>
    <row r="187" spans="1:41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8"/>
        <v>1</v>
      </c>
      <c r="AM187" t="str">
        <f t="shared" si="9"/>
        <v>6-10 Years</v>
      </c>
      <c r="AN187" t="str">
        <f t="shared" si="10"/>
        <v>0-2 Years</v>
      </c>
      <c r="AO187" t="str">
        <f t="shared" si="11"/>
        <v>26-35 years</v>
      </c>
    </row>
    <row r="188" spans="1:41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8"/>
        <v>1</v>
      </c>
      <c r="AM188" t="str">
        <f t="shared" si="9"/>
        <v>16-20 Years</v>
      </c>
      <c r="AN188" t="str">
        <f t="shared" si="10"/>
        <v>6-10 Years</v>
      </c>
      <c r="AO188" t="str">
        <f t="shared" si="11"/>
        <v>36-45 years</v>
      </c>
    </row>
    <row r="189" spans="1:41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8"/>
        <v>1</v>
      </c>
      <c r="AM189" t="str">
        <f t="shared" si="9"/>
        <v>21+ Years</v>
      </c>
      <c r="AN189" t="str">
        <f t="shared" si="10"/>
        <v>0-2 Years</v>
      </c>
      <c r="AO189" t="str">
        <f t="shared" si="11"/>
        <v>46-55 Years</v>
      </c>
    </row>
    <row r="190" spans="1:41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8"/>
        <v>1</v>
      </c>
      <c r="AM190" t="str">
        <f t="shared" si="9"/>
        <v>6-10 Years</v>
      </c>
      <c r="AN190" t="str">
        <f t="shared" si="10"/>
        <v>0-2 Years</v>
      </c>
      <c r="AO190" t="str">
        <f t="shared" si="11"/>
        <v>26-35 years</v>
      </c>
    </row>
    <row r="191" spans="1:41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8"/>
        <v>1</v>
      </c>
      <c r="AM191" t="str">
        <f t="shared" si="9"/>
        <v>6-10 Years</v>
      </c>
      <c r="AN191" t="str">
        <f t="shared" si="10"/>
        <v>0-2 Years</v>
      </c>
      <c r="AO191" t="str">
        <f t="shared" si="11"/>
        <v>46-55 Years</v>
      </c>
    </row>
    <row r="192" spans="1:41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8"/>
        <v>1</v>
      </c>
      <c r="AM192" t="str">
        <f t="shared" si="9"/>
        <v>21+ Years</v>
      </c>
      <c r="AN192" t="str">
        <f t="shared" si="10"/>
        <v>11-15 Years</v>
      </c>
      <c r="AO192" t="str">
        <f t="shared" si="11"/>
        <v>46-55 Years</v>
      </c>
    </row>
    <row r="193" spans="1:41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8"/>
        <v>1</v>
      </c>
      <c r="AM193" t="str">
        <f t="shared" si="9"/>
        <v>6-10 Years</v>
      </c>
      <c r="AN193" t="str">
        <f t="shared" si="10"/>
        <v>0-2 Years</v>
      </c>
      <c r="AO193" t="str">
        <f t="shared" si="11"/>
        <v>26-35 years</v>
      </c>
    </row>
    <row r="194" spans="1:41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si="8"/>
        <v>1</v>
      </c>
      <c r="AM194" t="str">
        <f t="shared" si="9"/>
        <v>0-2 Years</v>
      </c>
      <c r="AN194" t="str">
        <f t="shared" si="10"/>
        <v>0-2 Years</v>
      </c>
      <c r="AO194" t="str">
        <f t="shared" si="11"/>
        <v>26-35 years</v>
      </c>
    </row>
    <row r="195" spans="1:41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ref="AJ195:AJ258" si="12">COUNTIFS($A$2:$A$1471,A195,$B$2:$B$1471,B195,$C$2:$C$1471,C195,$D$2:$D$1471,D195,$E$2:$E$1471,E195,$F$2:$F$1471,F195,$G$2:$G$1471,G195,$H$2:$H$1471,H195,$I$2:$I$1471,I195,$J$2:$J$1471,J195,$K$2:$K$1471,K195,$L$2:$L$1471,L195,$M$2:$M$1471,M195,$N$2:$N$1471,N195,$O$2:$O$1471,O195,$P$2:$P$1471,P195,$Q$2:$Q$1471,Q195,$R$2:$R$1471,R195,$S$2:$S$1471,S195,$T$2:$T$1471,T195,$U$2:$U$1471,U195,$V$2:$V$1471,V195,$W$2:$W$1471,W195,$X$2:$X$1471,X195,$Y$2:$Y$1471,Y195,$Z$2:$Z$1471,Z195,$AA$2:$AA$1471,AA195,$AB$2:$AB$1471,AB195,$AC$2:$AC$1471,AC195,$AD$2:$AD$1471,AD195,$AE$2:$AE$1471,AE195,$AF$2:$AF$1471,AF195,$AG$2:$AG$1471,AG195,$AH$2:$AH$1471,AH195,$AI$2:$AI$1471,AI195)</f>
        <v>1</v>
      </c>
      <c r="AM195" t="str">
        <f t="shared" ref="AM195:AM258" si="13">IF(AF195&lt;=2,"0-2 Years",IF(AF195&lt;=5,"3-5 Years",IF(AF195&lt;=10,"6-10 Years",IF(AF195&lt;=15,"11-15 Years",IF(AF195&lt;=20,"16-20 Years","21+ Years")))))</f>
        <v>3-5 Years</v>
      </c>
      <c r="AN195" t="str">
        <f t="shared" ref="AN195:AN258" si="14">IF(AH195&lt;=2,"0-2 Years",IF(AH195&lt;=5,"3-5 Years",IF(AH195&lt;=10,"6-10 Years","11-15 Years")))</f>
        <v>0-2 Years</v>
      </c>
      <c r="AO195" t="str">
        <f t="shared" ref="AO195:AO258" si="15">IF(A195&lt;=25,"18-25 years",IF(A195&lt;=35,"26-35 years",IF(A195&lt;=45,"36-45 years",IF(A195&lt;=55,"46-55 Years","56+ years"))))</f>
        <v>36-45 years</v>
      </c>
    </row>
    <row r="196" spans="1:41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12"/>
        <v>1</v>
      </c>
      <c r="AM196" t="str">
        <f t="shared" si="13"/>
        <v>16-20 Years</v>
      </c>
      <c r="AN196" t="str">
        <f t="shared" si="14"/>
        <v>11-15 Years</v>
      </c>
      <c r="AO196" t="str">
        <f t="shared" si="15"/>
        <v>36-45 years</v>
      </c>
    </row>
    <row r="197" spans="1:41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12"/>
        <v>1</v>
      </c>
      <c r="AM197" t="str">
        <f t="shared" si="13"/>
        <v>6-10 Years</v>
      </c>
      <c r="AN197" t="str">
        <f t="shared" si="14"/>
        <v>0-2 Years</v>
      </c>
      <c r="AO197" t="str">
        <f t="shared" si="15"/>
        <v>36-45 years</v>
      </c>
    </row>
    <row r="198" spans="1:41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12"/>
        <v>1</v>
      </c>
      <c r="AM198" t="str">
        <f t="shared" si="13"/>
        <v>6-10 Years</v>
      </c>
      <c r="AN198" t="str">
        <f t="shared" si="14"/>
        <v>0-2 Years</v>
      </c>
      <c r="AO198" t="str">
        <f t="shared" si="15"/>
        <v>26-35 years</v>
      </c>
    </row>
    <row r="199" spans="1:41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12"/>
        <v>1</v>
      </c>
      <c r="AM199" t="str">
        <f t="shared" si="13"/>
        <v>3-5 Years</v>
      </c>
      <c r="AN199" t="str">
        <f t="shared" si="14"/>
        <v>0-2 Years</v>
      </c>
      <c r="AO199" t="str">
        <f t="shared" si="15"/>
        <v>36-45 years</v>
      </c>
    </row>
    <row r="200" spans="1:41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12"/>
        <v>1</v>
      </c>
      <c r="AM200" t="str">
        <f t="shared" si="13"/>
        <v>0-2 Years</v>
      </c>
      <c r="AN200" t="str">
        <f t="shared" si="14"/>
        <v>0-2 Years</v>
      </c>
      <c r="AO200" t="str">
        <f t="shared" si="15"/>
        <v>36-45 years</v>
      </c>
    </row>
    <row r="201" spans="1:41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12"/>
        <v>1</v>
      </c>
      <c r="AM201" t="str">
        <f t="shared" si="13"/>
        <v>6-10 Years</v>
      </c>
      <c r="AN201" t="str">
        <f t="shared" si="14"/>
        <v>0-2 Years</v>
      </c>
      <c r="AO201" t="str">
        <f t="shared" si="15"/>
        <v>36-45 years</v>
      </c>
    </row>
    <row r="202" spans="1:41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12"/>
        <v>1</v>
      </c>
      <c r="AM202" t="str">
        <f t="shared" si="13"/>
        <v>0-2 Years</v>
      </c>
      <c r="AN202" t="str">
        <f t="shared" si="14"/>
        <v>0-2 Years</v>
      </c>
      <c r="AO202" t="str">
        <f t="shared" si="15"/>
        <v>26-35 years</v>
      </c>
    </row>
    <row r="203" spans="1:41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12"/>
        <v>1</v>
      </c>
      <c r="AM203" t="str">
        <f t="shared" si="13"/>
        <v>6-10 Years</v>
      </c>
      <c r="AN203" t="str">
        <f t="shared" si="14"/>
        <v>0-2 Years</v>
      </c>
      <c r="AO203" t="str">
        <f t="shared" si="15"/>
        <v>46-55 Years</v>
      </c>
    </row>
    <row r="204" spans="1:41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12"/>
        <v>1</v>
      </c>
      <c r="AM204" t="str">
        <f t="shared" si="13"/>
        <v>3-5 Years</v>
      </c>
      <c r="AN204" t="str">
        <f t="shared" si="14"/>
        <v>0-2 Years</v>
      </c>
      <c r="AO204" t="str">
        <f t="shared" si="15"/>
        <v>26-35 years</v>
      </c>
    </row>
    <row r="205" spans="1:41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12"/>
        <v>1</v>
      </c>
      <c r="AM205" t="str">
        <f t="shared" si="13"/>
        <v>6-10 Years</v>
      </c>
      <c r="AN205" t="str">
        <f t="shared" si="14"/>
        <v>3-5 Years</v>
      </c>
      <c r="AO205" t="str">
        <f t="shared" si="15"/>
        <v>36-45 years</v>
      </c>
    </row>
    <row r="206" spans="1:41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12"/>
        <v>1</v>
      </c>
      <c r="AM206" t="str">
        <f t="shared" si="13"/>
        <v>0-2 Years</v>
      </c>
      <c r="AN206" t="str">
        <f t="shared" si="14"/>
        <v>0-2 Years</v>
      </c>
      <c r="AO206" t="str">
        <f t="shared" si="15"/>
        <v>36-45 years</v>
      </c>
    </row>
    <row r="207" spans="1:41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12"/>
        <v>1</v>
      </c>
      <c r="AM207" t="str">
        <f t="shared" si="13"/>
        <v>6-10 Years</v>
      </c>
      <c r="AN207" t="str">
        <f t="shared" si="14"/>
        <v>0-2 Years</v>
      </c>
      <c r="AO207" t="str">
        <f t="shared" si="15"/>
        <v>26-35 years</v>
      </c>
    </row>
    <row r="208" spans="1:41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12"/>
        <v>1</v>
      </c>
      <c r="AM208" t="str">
        <f t="shared" si="13"/>
        <v>3-5 Years</v>
      </c>
      <c r="AN208" t="str">
        <f t="shared" si="14"/>
        <v>0-2 Years</v>
      </c>
      <c r="AO208" t="str">
        <f t="shared" si="15"/>
        <v>18-25 years</v>
      </c>
    </row>
    <row r="209" spans="1:41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12"/>
        <v>1</v>
      </c>
      <c r="AM209" t="str">
        <f t="shared" si="13"/>
        <v>6-10 Years</v>
      </c>
      <c r="AN209" t="str">
        <f t="shared" si="14"/>
        <v>0-2 Years</v>
      </c>
      <c r="AO209" t="str">
        <f t="shared" si="15"/>
        <v>36-45 years</v>
      </c>
    </row>
    <row r="210" spans="1:41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12"/>
        <v>1</v>
      </c>
      <c r="AM210" t="str">
        <f t="shared" si="13"/>
        <v>3-5 Years</v>
      </c>
      <c r="AN210" t="str">
        <f t="shared" si="14"/>
        <v>0-2 Years</v>
      </c>
      <c r="AO210" t="str">
        <f t="shared" si="15"/>
        <v>36-45 years</v>
      </c>
    </row>
    <row r="211" spans="1:41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12"/>
        <v>1</v>
      </c>
      <c r="AM211" t="str">
        <f t="shared" si="13"/>
        <v>3-5 Years</v>
      </c>
      <c r="AN211" t="str">
        <f t="shared" si="14"/>
        <v>0-2 Years</v>
      </c>
      <c r="AO211" t="str">
        <f t="shared" si="15"/>
        <v>46-55 Years</v>
      </c>
    </row>
    <row r="212" spans="1:41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12"/>
        <v>1</v>
      </c>
      <c r="AM212" t="str">
        <f t="shared" si="13"/>
        <v>11-15 Years</v>
      </c>
      <c r="AN212" t="str">
        <f t="shared" si="14"/>
        <v>6-10 Years</v>
      </c>
      <c r="AO212" t="str">
        <f t="shared" si="15"/>
        <v>26-35 years</v>
      </c>
    </row>
    <row r="213" spans="1:41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12"/>
        <v>1</v>
      </c>
      <c r="AM213" t="str">
        <f t="shared" si="13"/>
        <v>11-15 Years</v>
      </c>
      <c r="AN213" t="str">
        <f t="shared" si="14"/>
        <v>3-5 Years</v>
      </c>
      <c r="AO213" t="str">
        <f t="shared" si="15"/>
        <v>26-35 years</v>
      </c>
    </row>
    <row r="214" spans="1:41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12"/>
        <v>1</v>
      </c>
      <c r="AM214" t="str">
        <f t="shared" si="13"/>
        <v>6-10 Years</v>
      </c>
      <c r="AN214" t="str">
        <f t="shared" si="14"/>
        <v>0-2 Years</v>
      </c>
      <c r="AO214" t="str">
        <f t="shared" si="15"/>
        <v>26-35 years</v>
      </c>
    </row>
    <row r="215" spans="1:41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12"/>
        <v>1</v>
      </c>
      <c r="AM215" t="str">
        <f t="shared" si="13"/>
        <v>6-10 Years</v>
      </c>
      <c r="AN215" t="str">
        <f t="shared" si="14"/>
        <v>3-5 Years</v>
      </c>
      <c r="AO215" t="str">
        <f t="shared" si="15"/>
        <v>46-55 Years</v>
      </c>
    </row>
    <row r="216" spans="1:41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12"/>
        <v>1</v>
      </c>
      <c r="AM216" t="str">
        <f t="shared" si="13"/>
        <v>3-5 Years</v>
      </c>
      <c r="AN216" t="str">
        <f t="shared" si="14"/>
        <v>0-2 Years</v>
      </c>
      <c r="AO216" t="str">
        <f t="shared" si="15"/>
        <v>26-35 years</v>
      </c>
    </row>
    <row r="217" spans="1:41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12"/>
        <v>1</v>
      </c>
      <c r="AM217" t="str">
        <f t="shared" si="13"/>
        <v>0-2 Years</v>
      </c>
      <c r="AN217" t="str">
        <f t="shared" si="14"/>
        <v>0-2 Years</v>
      </c>
      <c r="AO217" t="str">
        <f t="shared" si="15"/>
        <v>36-45 years</v>
      </c>
    </row>
    <row r="218" spans="1:41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12"/>
        <v>1</v>
      </c>
      <c r="AM218" t="str">
        <f t="shared" si="13"/>
        <v>6-10 Years</v>
      </c>
      <c r="AN218" t="str">
        <f t="shared" si="14"/>
        <v>0-2 Years</v>
      </c>
      <c r="AO218" t="str">
        <f t="shared" si="15"/>
        <v>26-35 years</v>
      </c>
    </row>
    <row r="219" spans="1:41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12"/>
        <v>1</v>
      </c>
      <c r="AM219" t="str">
        <f t="shared" si="13"/>
        <v>6-10 Years</v>
      </c>
      <c r="AN219" t="str">
        <f t="shared" si="14"/>
        <v>0-2 Years</v>
      </c>
      <c r="AO219" t="str">
        <f t="shared" si="15"/>
        <v>26-35 years</v>
      </c>
    </row>
    <row r="220" spans="1:41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12"/>
        <v>1</v>
      </c>
      <c r="AM220" t="str">
        <f t="shared" si="13"/>
        <v>16-20 Years</v>
      </c>
      <c r="AN220" t="str">
        <f t="shared" si="14"/>
        <v>11-15 Years</v>
      </c>
      <c r="AO220" t="str">
        <f t="shared" si="15"/>
        <v>36-45 years</v>
      </c>
    </row>
    <row r="221" spans="1:41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12"/>
        <v>1</v>
      </c>
      <c r="AM221" t="str">
        <f t="shared" si="13"/>
        <v>6-10 Years</v>
      </c>
      <c r="AN221" t="str">
        <f t="shared" si="14"/>
        <v>0-2 Years</v>
      </c>
      <c r="AO221" t="str">
        <f t="shared" si="15"/>
        <v>46-55 Years</v>
      </c>
    </row>
    <row r="222" spans="1:41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12"/>
        <v>1</v>
      </c>
      <c r="AM222" t="str">
        <f t="shared" si="13"/>
        <v>11-15 Years</v>
      </c>
      <c r="AN222" t="str">
        <f t="shared" si="14"/>
        <v>3-5 Years</v>
      </c>
      <c r="AO222" t="str">
        <f t="shared" si="15"/>
        <v>36-45 years</v>
      </c>
    </row>
    <row r="223" spans="1:41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12"/>
        <v>1</v>
      </c>
      <c r="AM223" t="str">
        <f t="shared" si="13"/>
        <v>3-5 Years</v>
      </c>
      <c r="AN223" t="str">
        <f t="shared" si="14"/>
        <v>0-2 Years</v>
      </c>
      <c r="AO223" t="str">
        <f t="shared" si="15"/>
        <v>26-35 years</v>
      </c>
    </row>
    <row r="224" spans="1:41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12"/>
        <v>1</v>
      </c>
      <c r="AM224" t="str">
        <f t="shared" si="13"/>
        <v>6-10 Years</v>
      </c>
      <c r="AN224" t="str">
        <f t="shared" si="14"/>
        <v>0-2 Years</v>
      </c>
      <c r="AO224" t="str">
        <f t="shared" si="15"/>
        <v>36-45 years</v>
      </c>
    </row>
    <row r="225" spans="1:41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12"/>
        <v>1</v>
      </c>
      <c r="AM225" t="str">
        <f t="shared" si="13"/>
        <v>16-20 Years</v>
      </c>
      <c r="AN225" t="str">
        <f t="shared" si="14"/>
        <v>3-5 Years</v>
      </c>
      <c r="AO225" t="str">
        <f t="shared" si="15"/>
        <v>36-45 years</v>
      </c>
    </row>
    <row r="226" spans="1:41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12"/>
        <v>1</v>
      </c>
      <c r="AM226" t="str">
        <f t="shared" si="13"/>
        <v>3-5 Years</v>
      </c>
      <c r="AN226" t="str">
        <f t="shared" si="14"/>
        <v>0-2 Years</v>
      </c>
      <c r="AO226" t="str">
        <f t="shared" si="15"/>
        <v>26-35 years</v>
      </c>
    </row>
    <row r="227" spans="1:41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12"/>
        <v>1</v>
      </c>
      <c r="AM227" t="str">
        <f t="shared" si="13"/>
        <v>0-2 Years</v>
      </c>
      <c r="AN227" t="str">
        <f t="shared" si="14"/>
        <v>0-2 Years</v>
      </c>
      <c r="AO227" t="str">
        <f t="shared" si="15"/>
        <v>56+ years</v>
      </c>
    </row>
    <row r="228" spans="1:41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12"/>
        <v>1</v>
      </c>
      <c r="AM228" t="str">
        <f t="shared" si="13"/>
        <v>6-10 Years</v>
      </c>
      <c r="AN228" t="str">
        <f t="shared" si="14"/>
        <v>3-5 Years</v>
      </c>
      <c r="AO228" t="str">
        <f t="shared" si="15"/>
        <v>36-45 years</v>
      </c>
    </row>
    <row r="229" spans="1:41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12"/>
        <v>1</v>
      </c>
      <c r="AM229" t="str">
        <f t="shared" si="13"/>
        <v>11-15 Years</v>
      </c>
      <c r="AN229" t="str">
        <f t="shared" si="14"/>
        <v>3-5 Years</v>
      </c>
      <c r="AO229" t="str">
        <f t="shared" si="15"/>
        <v>26-35 years</v>
      </c>
    </row>
    <row r="230" spans="1:41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12"/>
        <v>1</v>
      </c>
      <c r="AM230" t="str">
        <f t="shared" si="13"/>
        <v>6-10 Years</v>
      </c>
      <c r="AN230" t="str">
        <f t="shared" si="14"/>
        <v>0-2 Years</v>
      </c>
      <c r="AO230" t="str">
        <f t="shared" si="15"/>
        <v>26-35 years</v>
      </c>
    </row>
    <row r="231" spans="1:41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12"/>
        <v>1</v>
      </c>
      <c r="AM231" t="str">
        <f t="shared" si="13"/>
        <v>3-5 Years</v>
      </c>
      <c r="AN231" t="str">
        <f t="shared" si="14"/>
        <v>0-2 Years</v>
      </c>
      <c r="AO231" t="str">
        <f t="shared" si="15"/>
        <v>26-35 years</v>
      </c>
    </row>
    <row r="232" spans="1:41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12"/>
        <v>1</v>
      </c>
      <c r="AM232" t="str">
        <f t="shared" si="13"/>
        <v>0-2 Years</v>
      </c>
      <c r="AN232" t="str">
        <f t="shared" si="14"/>
        <v>0-2 Years</v>
      </c>
      <c r="AO232" t="str">
        <f t="shared" si="15"/>
        <v>46-55 Years</v>
      </c>
    </row>
    <row r="233" spans="1:41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12"/>
        <v>1</v>
      </c>
      <c r="AM233" t="str">
        <f t="shared" si="13"/>
        <v>21+ Years</v>
      </c>
      <c r="AN233" t="str">
        <f t="shared" si="14"/>
        <v>11-15 Years</v>
      </c>
      <c r="AO233" t="str">
        <f t="shared" si="15"/>
        <v>36-45 years</v>
      </c>
    </row>
    <row r="234" spans="1:41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12"/>
        <v>1</v>
      </c>
      <c r="AM234" t="str">
        <f t="shared" si="13"/>
        <v>0-2 Years</v>
      </c>
      <c r="AN234" t="str">
        <f t="shared" si="14"/>
        <v>0-2 Years</v>
      </c>
      <c r="AO234" t="str">
        <f t="shared" si="15"/>
        <v>56+ years</v>
      </c>
    </row>
    <row r="235" spans="1:41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12"/>
        <v>1</v>
      </c>
      <c r="AM235" t="str">
        <f t="shared" si="13"/>
        <v>6-10 Years</v>
      </c>
      <c r="AN235" t="str">
        <f t="shared" si="14"/>
        <v>0-2 Years</v>
      </c>
      <c r="AO235" t="str">
        <f t="shared" si="15"/>
        <v>46-55 Years</v>
      </c>
    </row>
    <row r="236" spans="1:41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12"/>
        <v>1</v>
      </c>
      <c r="AM236" t="str">
        <f t="shared" si="13"/>
        <v>3-5 Years</v>
      </c>
      <c r="AN236" t="str">
        <f t="shared" si="14"/>
        <v>0-2 Years</v>
      </c>
      <c r="AO236" t="str">
        <f t="shared" si="15"/>
        <v>26-35 years</v>
      </c>
    </row>
    <row r="237" spans="1:41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12"/>
        <v>1</v>
      </c>
      <c r="AM237" t="str">
        <f t="shared" si="13"/>
        <v>16-20 Years</v>
      </c>
      <c r="AN237" t="str">
        <f t="shared" si="14"/>
        <v>0-2 Years</v>
      </c>
      <c r="AO237" t="str">
        <f t="shared" si="15"/>
        <v>36-45 years</v>
      </c>
    </row>
    <row r="238" spans="1:41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12"/>
        <v>1</v>
      </c>
      <c r="AM238" t="str">
        <f t="shared" si="13"/>
        <v>6-10 Years</v>
      </c>
      <c r="AN238" t="str">
        <f t="shared" si="14"/>
        <v>0-2 Years</v>
      </c>
      <c r="AO238" t="str">
        <f t="shared" si="15"/>
        <v>26-35 years</v>
      </c>
    </row>
    <row r="239" spans="1:41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12"/>
        <v>1</v>
      </c>
      <c r="AM239" t="str">
        <f t="shared" si="13"/>
        <v>21+ Years</v>
      </c>
      <c r="AN239" t="str">
        <f t="shared" si="14"/>
        <v>11-15 Years</v>
      </c>
      <c r="AO239" t="str">
        <f t="shared" si="15"/>
        <v>46-55 Years</v>
      </c>
    </row>
    <row r="240" spans="1:41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12"/>
        <v>1</v>
      </c>
      <c r="AM240" t="str">
        <f t="shared" si="13"/>
        <v>3-5 Years</v>
      </c>
      <c r="AN240" t="str">
        <f t="shared" si="14"/>
        <v>0-2 Years</v>
      </c>
      <c r="AO240" t="str">
        <f t="shared" si="15"/>
        <v>26-35 years</v>
      </c>
    </row>
    <row r="241" spans="1:41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12"/>
        <v>1</v>
      </c>
      <c r="AM241" t="str">
        <f t="shared" si="13"/>
        <v>3-5 Years</v>
      </c>
      <c r="AN241" t="str">
        <f t="shared" si="14"/>
        <v>0-2 Years</v>
      </c>
      <c r="AO241" t="str">
        <f t="shared" si="15"/>
        <v>26-35 years</v>
      </c>
    </row>
    <row r="242" spans="1:41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12"/>
        <v>1</v>
      </c>
      <c r="AM242" t="str">
        <f t="shared" si="13"/>
        <v>3-5 Years</v>
      </c>
      <c r="AN242" t="str">
        <f t="shared" si="14"/>
        <v>0-2 Years</v>
      </c>
      <c r="AO242" t="str">
        <f t="shared" si="15"/>
        <v>36-45 years</v>
      </c>
    </row>
    <row r="243" spans="1:41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12"/>
        <v>1</v>
      </c>
      <c r="AM243" t="str">
        <f t="shared" si="13"/>
        <v>3-5 Years</v>
      </c>
      <c r="AN243" t="str">
        <f t="shared" si="14"/>
        <v>0-2 Years</v>
      </c>
      <c r="AO243" t="str">
        <f t="shared" si="15"/>
        <v>26-35 years</v>
      </c>
    </row>
    <row r="244" spans="1:41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12"/>
        <v>1</v>
      </c>
      <c r="AM244" t="str">
        <f t="shared" si="13"/>
        <v>0-2 Years</v>
      </c>
      <c r="AN244" t="str">
        <f t="shared" si="14"/>
        <v>0-2 Years</v>
      </c>
      <c r="AO244" t="str">
        <f t="shared" si="15"/>
        <v>36-45 years</v>
      </c>
    </row>
    <row r="245" spans="1:41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12"/>
        <v>1</v>
      </c>
      <c r="AM245" t="str">
        <f t="shared" si="13"/>
        <v>6-10 Years</v>
      </c>
      <c r="AN245" t="str">
        <f t="shared" si="14"/>
        <v>3-5 Years</v>
      </c>
      <c r="AO245" t="str">
        <f t="shared" si="15"/>
        <v>36-45 years</v>
      </c>
    </row>
    <row r="246" spans="1:41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12"/>
        <v>1</v>
      </c>
      <c r="AM246" t="str">
        <f t="shared" si="13"/>
        <v>21+ Years</v>
      </c>
      <c r="AN246" t="str">
        <f t="shared" si="14"/>
        <v>0-2 Years</v>
      </c>
      <c r="AO246" t="str">
        <f t="shared" si="15"/>
        <v>36-45 years</v>
      </c>
    </row>
    <row r="247" spans="1:41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12"/>
        <v>1</v>
      </c>
      <c r="AM247" t="str">
        <f t="shared" si="13"/>
        <v>0-2 Years</v>
      </c>
      <c r="AN247" t="str">
        <f t="shared" si="14"/>
        <v>0-2 Years</v>
      </c>
      <c r="AO247" t="str">
        <f t="shared" si="15"/>
        <v>26-35 years</v>
      </c>
    </row>
    <row r="248" spans="1:41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12"/>
        <v>1</v>
      </c>
      <c r="AM248" t="str">
        <f t="shared" si="13"/>
        <v>0-2 Years</v>
      </c>
      <c r="AN248" t="str">
        <f t="shared" si="14"/>
        <v>0-2 Years</v>
      </c>
      <c r="AO248" t="str">
        <f t="shared" si="15"/>
        <v>26-35 years</v>
      </c>
    </row>
    <row r="249" spans="1:41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12"/>
        <v>1</v>
      </c>
      <c r="AM249" t="str">
        <f t="shared" si="13"/>
        <v>11-15 Years</v>
      </c>
      <c r="AN249" t="str">
        <f t="shared" si="14"/>
        <v>3-5 Years</v>
      </c>
      <c r="AO249" t="str">
        <f t="shared" si="15"/>
        <v>26-35 years</v>
      </c>
    </row>
    <row r="250" spans="1:41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12"/>
        <v>1</v>
      </c>
      <c r="AM250" t="str">
        <f t="shared" si="13"/>
        <v>3-5 Years</v>
      </c>
      <c r="AN250" t="str">
        <f t="shared" si="14"/>
        <v>0-2 Years</v>
      </c>
      <c r="AO250" t="str">
        <f t="shared" si="15"/>
        <v>36-45 years</v>
      </c>
    </row>
    <row r="251" spans="1:41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12"/>
        <v>1</v>
      </c>
      <c r="AM251" t="str">
        <f t="shared" si="13"/>
        <v>3-5 Years</v>
      </c>
      <c r="AN251" t="str">
        <f t="shared" si="14"/>
        <v>0-2 Years</v>
      </c>
      <c r="AO251" t="str">
        <f t="shared" si="15"/>
        <v>36-45 years</v>
      </c>
    </row>
    <row r="252" spans="1:41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12"/>
        <v>1</v>
      </c>
      <c r="AM252" t="str">
        <f t="shared" si="13"/>
        <v>0-2 Years</v>
      </c>
      <c r="AN252" t="str">
        <f t="shared" si="14"/>
        <v>0-2 Years</v>
      </c>
      <c r="AO252" t="str">
        <f t="shared" si="15"/>
        <v>36-45 years</v>
      </c>
    </row>
    <row r="253" spans="1:41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12"/>
        <v>1</v>
      </c>
      <c r="AM253" t="str">
        <f t="shared" si="13"/>
        <v>16-20 Years</v>
      </c>
      <c r="AN253" t="str">
        <f t="shared" si="14"/>
        <v>11-15 Years</v>
      </c>
      <c r="AO253" t="str">
        <f t="shared" si="15"/>
        <v>36-45 years</v>
      </c>
    </row>
    <row r="254" spans="1:41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12"/>
        <v>1</v>
      </c>
      <c r="AM254" t="str">
        <f t="shared" si="13"/>
        <v>6-10 Years</v>
      </c>
      <c r="AN254" t="str">
        <f t="shared" si="14"/>
        <v>0-2 Years</v>
      </c>
      <c r="AO254" t="str">
        <f t="shared" si="15"/>
        <v>26-35 years</v>
      </c>
    </row>
    <row r="255" spans="1:41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12"/>
        <v>1</v>
      </c>
      <c r="AM255" t="str">
        <f t="shared" si="13"/>
        <v>3-5 Years</v>
      </c>
      <c r="AN255" t="str">
        <f t="shared" si="14"/>
        <v>0-2 Years</v>
      </c>
      <c r="AO255" t="str">
        <f t="shared" si="15"/>
        <v>36-45 years</v>
      </c>
    </row>
    <row r="256" spans="1:41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12"/>
        <v>1</v>
      </c>
      <c r="AM256" t="str">
        <f t="shared" si="13"/>
        <v>3-5 Years</v>
      </c>
      <c r="AN256" t="str">
        <f t="shared" si="14"/>
        <v>0-2 Years</v>
      </c>
      <c r="AO256" t="str">
        <f t="shared" si="15"/>
        <v>26-35 years</v>
      </c>
    </row>
    <row r="257" spans="1:41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12"/>
        <v>1</v>
      </c>
      <c r="AM257" t="str">
        <f t="shared" si="13"/>
        <v>3-5 Years</v>
      </c>
      <c r="AN257" t="str">
        <f t="shared" si="14"/>
        <v>0-2 Years</v>
      </c>
      <c r="AO257" t="str">
        <f t="shared" si="15"/>
        <v>18-25 years</v>
      </c>
    </row>
    <row r="258" spans="1:41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si="12"/>
        <v>1</v>
      </c>
      <c r="AM258" t="str">
        <f t="shared" si="13"/>
        <v>6-10 Years</v>
      </c>
      <c r="AN258" t="str">
        <f t="shared" si="14"/>
        <v>6-10 Years</v>
      </c>
      <c r="AO258" t="str">
        <f t="shared" si="15"/>
        <v>36-45 years</v>
      </c>
    </row>
    <row r="259" spans="1:41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ref="AJ259:AJ322" si="16">COUNTIFS($A$2:$A$1471,A259,$B$2:$B$1471,B259,$C$2:$C$1471,C259,$D$2:$D$1471,D259,$E$2:$E$1471,E259,$F$2:$F$1471,F259,$G$2:$G$1471,G259,$H$2:$H$1471,H259,$I$2:$I$1471,I259,$J$2:$J$1471,J259,$K$2:$K$1471,K259,$L$2:$L$1471,L259,$M$2:$M$1471,M259,$N$2:$N$1471,N259,$O$2:$O$1471,O259,$P$2:$P$1471,P259,$Q$2:$Q$1471,Q259,$R$2:$R$1471,R259,$S$2:$S$1471,S259,$T$2:$T$1471,T259,$U$2:$U$1471,U259,$V$2:$V$1471,V259,$W$2:$W$1471,W259,$X$2:$X$1471,X259,$Y$2:$Y$1471,Y259,$Z$2:$Z$1471,Z259,$AA$2:$AA$1471,AA259,$AB$2:$AB$1471,AB259,$AC$2:$AC$1471,AC259,$AD$2:$AD$1471,AD259,$AE$2:$AE$1471,AE259,$AF$2:$AF$1471,AF259,$AG$2:$AG$1471,AG259,$AH$2:$AH$1471,AH259,$AI$2:$AI$1471,AI259)</f>
        <v>1</v>
      </c>
      <c r="AM259" t="str">
        <f t="shared" ref="AM259:AM322" si="17">IF(AF259&lt;=2,"0-2 Years",IF(AF259&lt;=5,"3-5 Years",IF(AF259&lt;=10,"6-10 Years",IF(AF259&lt;=15,"11-15 Years",IF(AF259&lt;=20,"16-20 Years","21+ Years")))))</f>
        <v>21+ Years</v>
      </c>
      <c r="AN259" t="str">
        <f t="shared" ref="AN259:AN322" si="18">IF(AH259&lt;=2,"0-2 Years",IF(AH259&lt;=5,"3-5 Years",IF(AH259&lt;=10,"6-10 Years","11-15 Years")))</f>
        <v>3-5 Years</v>
      </c>
      <c r="AO259" t="str">
        <f t="shared" ref="AO259:AO322" si="19">IF(A259&lt;=25,"18-25 years",IF(A259&lt;=35,"26-35 years",IF(A259&lt;=45,"36-45 years",IF(A259&lt;=55,"46-55 Years","56+ years"))))</f>
        <v>36-45 years</v>
      </c>
    </row>
    <row r="260" spans="1:41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16"/>
        <v>1</v>
      </c>
      <c r="AM260" t="str">
        <f t="shared" si="17"/>
        <v>0-2 Years</v>
      </c>
      <c r="AN260" t="str">
        <f t="shared" si="18"/>
        <v>0-2 Years</v>
      </c>
      <c r="AO260" t="str">
        <f t="shared" si="19"/>
        <v>46-55 Years</v>
      </c>
    </row>
    <row r="261" spans="1:41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16"/>
        <v>1</v>
      </c>
      <c r="AM261" t="str">
        <f t="shared" si="17"/>
        <v>3-5 Years</v>
      </c>
      <c r="AN261" t="str">
        <f t="shared" si="18"/>
        <v>0-2 Years</v>
      </c>
      <c r="AO261" t="str">
        <f t="shared" si="19"/>
        <v>26-35 years</v>
      </c>
    </row>
    <row r="262" spans="1:41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16"/>
        <v>1</v>
      </c>
      <c r="AM262" t="str">
        <f t="shared" si="17"/>
        <v>3-5 Years</v>
      </c>
      <c r="AN262" t="str">
        <f t="shared" si="18"/>
        <v>0-2 Years</v>
      </c>
      <c r="AO262" t="str">
        <f t="shared" si="19"/>
        <v>26-35 years</v>
      </c>
    </row>
    <row r="263" spans="1:41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16"/>
        <v>1</v>
      </c>
      <c r="AM263" t="str">
        <f t="shared" si="17"/>
        <v>6-10 Years</v>
      </c>
      <c r="AN263" t="str">
        <f t="shared" si="18"/>
        <v>6-10 Years</v>
      </c>
      <c r="AO263" t="str">
        <f t="shared" si="19"/>
        <v>36-45 years</v>
      </c>
    </row>
    <row r="264" spans="1:41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16"/>
        <v>1</v>
      </c>
      <c r="AM264" t="str">
        <f t="shared" si="17"/>
        <v>6-10 Years</v>
      </c>
      <c r="AN264" t="str">
        <f t="shared" si="18"/>
        <v>0-2 Years</v>
      </c>
      <c r="AO264" t="str">
        <f t="shared" si="19"/>
        <v>26-35 years</v>
      </c>
    </row>
    <row r="265" spans="1:41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16"/>
        <v>1</v>
      </c>
      <c r="AM265" t="str">
        <f t="shared" si="17"/>
        <v>6-10 Years</v>
      </c>
      <c r="AN265" t="str">
        <f t="shared" si="18"/>
        <v>6-10 Years</v>
      </c>
      <c r="AO265" t="str">
        <f t="shared" si="19"/>
        <v>46-55 Years</v>
      </c>
    </row>
    <row r="266" spans="1:41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16"/>
        <v>1</v>
      </c>
      <c r="AM266" t="str">
        <f t="shared" si="17"/>
        <v>0-2 Years</v>
      </c>
      <c r="AN266" t="str">
        <f t="shared" si="18"/>
        <v>0-2 Years</v>
      </c>
      <c r="AO266" t="str">
        <f t="shared" si="19"/>
        <v>26-35 years</v>
      </c>
    </row>
    <row r="267" spans="1:41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16"/>
        <v>1</v>
      </c>
      <c r="AM267" t="str">
        <f t="shared" si="17"/>
        <v>0-2 Years</v>
      </c>
      <c r="AN267" t="str">
        <f t="shared" si="18"/>
        <v>0-2 Years</v>
      </c>
      <c r="AO267" t="str">
        <f t="shared" si="19"/>
        <v>26-35 years</v>
      </c>
    </row>
    <row r="268" spans="1:41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16"/>
        <v>1</v>
      </c>
      <c r="AM268" t="str">
        <f t="shared" si="17"/>
        <v>6-10 Years</v>
      </c>
      <c r="AN268" t="str">
        <f t="shared" si="18"/>
        <v>6-10 Years</v>
      </c>
      <c r="AO268" t="str">
        <f t="shared" si="19"/>
        <v>26-35 years</v>
      </c>
    </row>
    <row r="269" spans="1:41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16"/>
        <v>1</v>
      </c>
      <c r="AM269" t="str">
        <f t="shared" si="17"/>
        <v>6-10 Years</v>
      </c>
      <c r="AN269" t="str">
        <f t="shared" si="18"/>
        <v>0-2 Years</v>
      </c>
      <c r="AO269" t="str">
        <f t="shared" si="19"/>
        <v>18-25 years</v>
      </c>
    </row>
    <row r="270" spans="1:41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16"/>
        <v>1</v>
      </c>
      <c r="AM270" t="str">
        <f t="shared" si="17"/>
        <v>16-20 Years</v>
      </c>
      <c r="AN270" t="str">
        <f t="shared" si="18"/>
        <v>3-5 Years</v>
      </c>
      <c r="AO270" t="str">
        <f t="shared" si="19"/>
        <v>36-45 years</v>
      </c>
    </row>
    <row r="271" spans="1:41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16"/>
        <v>1</v>
      </c>
      <c r="AM271" t="str">
        <f t="shared" si="17"/>
        <v>11-15 Years</v>
      </c>
      <c r="AN271" t="str">
        <f t="shared" si="18"/>
        <v>6-10 Years</v>
      </c>
      <c r="AO271" t="str">
        <f t="shared" si="19"/>
        <v>36-45 years</v>
      </c>
    </row>
    <row r="272" spans="1:41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16"/>
        <v>1</v>
      </c>
      <c r="AM272" t="str">
        <f t="shared" si="17"/>
        <v>21+ Years</v>
      </c>
      <c r="AN272" t="str">
        <f t="shared" si="18"/>
        <v>3-5 Years</v>
      </c>
      <c r="AO272" t="str">
        <f t="shared" si="19"/>
        <v>46-55 Years</v>
      </c>
    </row>
    <row r="273" spans="1:41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16"/>
        <v>1</v>
      </c>
      <c r="AM273" t="str">
        <f t="shared" si="17"/>
        <v>6-10 Years</v>
      </c>
      <c r="AN273" t="str">
        <f t="shared" si="18"/>
        <v>6-10 Years</v>
      </c>
      <c r="AO273" t="str">
        <f t="shared" si="19"/>
        <v>46-55 Years</v>
      </c>
    </row>
    <row r="274" spans="1:41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16"/>
        <v>1</v>
      </c>
      <c r="AM274" t="str">
        <f t="shared" si="17"/>
        <v>3-5 Years</v>
      </c>
      <c r="AN274" t="str">
        <f t="shared" si="18"/>
        <v>0-2 Years</v>
      </c>
      <c r="AO274" t="str">
        <f t="shared" si="19"/>
        <v>26-35 years</v>
      </c>
    </row>
    <row r="275" spans="1:41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16"/>
        <v>1</v>
      </c>
      <c r="AM275" t="str">
        <f t="shared" si="17"/>
        <v>3-5 Years</v>
      </c>
      <c r="AN275" t="str">
        <f t="shared" si="18"/>
        <v>0-2 Years</v>
      </c>
      <c r="AO275" t="str">
        <f t="shared" si="19"/>
        <v>36-45 years</v>
      </c>
    </row>
    <row r="276" spans="1:41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16"/>
        <v>1</v>
      </c>
      <c r="AM276" t="str">
        <f t="shared" si="17"/>
        <v>3-5 Years</v>
      </c>
      <c r="AN276" t="str">
        <f t="shared" si="18"/>
        <v>0-2 Years</v>
      </c>
      <c r="AO276" t="str">
        <f t="shared" si="19"/>
        <v>18-25 years</v>
      </c>
    </row>
    <row r="277" spans="1:41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16"/>
        <v>1</v>
      </c>
      <c r="AM277" t="str">
        <f t="shared" si="17"/>
        <v>3-5 Years</v>
      </c>
      <c r="AN277" t="str">
        <f t="shared" si="18"/>
        <v>0-2 Years</v>
      </c>
      <c r="AO277" t="str">
        <f t="shared" si="19"/>
        <v>36-45 years</v>
      </c>
    </row>
    <row r="278" spans="1:41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16"/>
        <v>1</v>
      </c>
      <c r="AM278" t="str">
        <f t="shared" si="17"/>
        <v>6-10 Years</v>
      </c>
      <c r="AN278" t="str">
        <f t="shared" si="18"/>
        <v>6-10 Years</v>
      </c>
      <c r="AO278" t="str">
        <f t="shared" si="19"/>
        <v>26-35 years</v>
      </c>
    </row>
    <row r="279" spans="1:41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16"/>
        <v>1</v>
      </c>
      <c r="AM279" t="str">
        <f t="shared" si="17"/>
        <v>6-10 Years</v>
      </c>
      <c r="AN279" t="str">
        <f t="shared" si="18"/>
        <v>6-10 Years</v>
      </c>
      <c r="AO279" t="str">
        <f t="shared" si="19"/>
        <v>36-45 years</v>
      </c>
    </row>
    <row r="280" spans="1:41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16"/>
        <v>1</v>
      </c>
      <c r="AM280" t="str">
        <f t="shared" si="17"/>
        <v>6-10 Years</v>
      </c>
      <c r="AN280" t="str">
        <f t="shared" si="18"/>
        <v>0-2 Years</v>
      </c>
      <c r="AO280" t="str">
        <f t="shared" si="19"/>
        <v>26-35 years</v>
      </c>
    </row>
    <row r="281" spans="1:41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16"/>
        <v>1</v>
      </c>
      <c r="AM281" t="str">
        <f t="shared" si="17"/>
        <v>6-10 Years</v>
      </c>
      <c r="AN281" t="str">
        <f t="shared" si="18"/>
        <v>0-2 Years</v>
      </c>
      <c r="AO281" t="str">
        <f t="shared" si="19"/>
        <v>46-55 Years</v>
      </c>
    </row>
    <row r="282" spans="1:41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16"/>
        <v>1</v>
      </c>
      <c r="AM282" t="str">
        <f t="shared" si="17"/>
        <v>3-5 Years</v>
      </c>
      <c r="AN282" t="str">
        <f t="shared" si="18"/>
        <v>0-2 Years</v>
      </c>
      <c r="AO282" t="str">
        <f t="shared" si="19"/>
        <v>46-55 Years</v>
      </c>
    </row>
    <row r="283" spans="1:41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16"/>
        <v>1</v>
      </c>
      <c r="AM283" t="str">
        <f t="shared" si="17"/>
        <v>16-20 Years</v>
      </c>
      <c r="AN283" t="str">
        <f t="shared" si="18"/>
        <v>11-15 Years</v>
      </c>
      <c r="AO283" t="str">
        <f t="shared" si="19"/>
        <v>36-45 years</v>
      </c>
    </row>
    <row r="284" spans="1:41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16"/>
        <v>1</v>
      </c>
      <c r="AM284" t="str">
        <f t="shared" si="17"/>
        <v>6-10 Years</v>
      </c>
      <c r="AN284" t="str">
        <f t="shared" si="18"/>
        <v>0-2 Years</v>
      </c>
      <c r="AO284" t="str">
        <f t="shared" si="19"/>
        <v>26-35 years</v>
      </c>
    </row>
    <row r="285" spans="1:41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16"/>
        <v>1</v>
      </c>
      <c r="AM285" t="str">
        <f t="shared" si="17"/>
        <v>6-10 Years</v>
      </c>
      <c r="AN285" t="str">
        <f t="shared" si="18"/>
        <v>0-2 Years</v>
      </c>
      <c r="AO285" t="str">
        <f t="shared" si="19"/>
        <v>46-55 Years</v>
      </c>
    </row>
    <row r="286" spans="1:41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16"/>
        <v>1</v>
      </c>
      <c r="AM286" t="str">
        <f t="shared" si="17"/>
        <v>3-5 Years</v>
      </c>
      <c r="AN286" t="str">
        <f t="shared" si="18"/>
        <v>3-5 Years</v>
      </c>
      <c r="AO286" t="str">
        <f t="shared" si="19"/>
        <v>26-35 years</v>
      </c>
    </row>
    <row r="287" spans="1:41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16"/>
        <v>1</v>
      </c>
      <c r="AM287" t="str">
        <f t="shared" si="17"/>
        <v>16-20 Years</v>
      </c>
      <c r="AN287" t="str">
        <f t="shared" si="18"/>
        <v>3-5 Years</v>
      </c>
      <c r="AO287" t="str">
        <f t="shared" si="19"/>
        <v>36-45 years</v>
      </c>
    </row>
    <row r="288" spans="1:41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16"/>
        <v>1</v>
      </c>
      <c r="AM288" t="str">
        <f t="shared" si="17"/>
        <v>0-2 Years</v>
      </c>
      <c r="AN288" t="str">
        <f t="shared" si="18"/>
        <v>0-2 Years</v>
      </c>
      <c r="AO288" t="str">
        <f t="shared" si="19"/>
        <v>36-45 years</v>
      </c>
    </row>
    <row r="289" spans="1:41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16"/>
        <v>1</v>
      </c>
      <c r="AM289" t="str">
        <f t="shared" si="17"/>
        <v>0-2 Years</v>
      </c>
      <c r="AN289" t="str">
        <f t="shared" si="18"/>
        <v>0-2 Years</v>
      </c>
      <c r="AO289" t="str">
        <f t="shared" si="19"/>
        <v>36-45 years</v>
      </c>
    </row>
    <row r="290" spans="1:41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16"/>
        <v>1</v>
      </c>
      <c r="AM290" t="str">
        <f t="shared" si="17"/>
        <v>3-5 Years</v>
      </c>
      <c r="AN290" t="str">
        <f t="shared" si="18"/>
        <v>0-2 Years</v>
      </c>
      <c r="AO290" t="str">
        <f t="shared" si="19"/>
        <v>26-35 years</v>
      </c>
    </row>
    <row r="291" spans="1:41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16"/>
        <v>1</v>
      </c>
      <c r="AM291" t="str">
        <f t="shared" si="17"/>
        <v>3-5 Years</v>
      </c>
      <c r="AN291" t="str">
        <f t="shared" si="18"/>
        <v>0-2 Years</v>
      </c>
      <c r="AO291" t="str">
        <f t="shared" si="19"/>
        <v>26-35 years</v>
      </c>
    </row>
    <row r="292" spans="1:41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16"/>
        <v>1</v>
      </c>
      <c r="AM292" t="str">
        <f t="shared" si="17"/>
        <v>3-5 Years</v>
      </c>
      <c r="AN292" t="str">
        <f t="shared" si="18"/>
        <v>0-2 Years</v>
      </c>
      <c r="AO292" t="str">
        <f t="shared" si="19"/>
        <v>46-55 Years</v>
      </c>
    </row>
    <row r="293" spans="1:41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16"/>
        <v>1</v>
      </c>
      <c r="AM293" t="str">
        <f t="shared" si="17"/>
        <v>6-10 Years</v>
      </c>
      <c r="AN293" t="str">
        <f t="shared" si="18"/>
        <v>6-10 Years</v>
      </c>
      <c r="AO293" t="str">
        <f t="shared" si="19"/>
        <v>36-45 years</v>
      </c>
    </row>
    <row r="294" spans="1:41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16"/>
        <v>1</v>
      </c>
      <c r="AM294" t="str">
        <f t="shared" si="17"/>
        <v>0-2 Years</v>
      </c>
      <c r="AN294" t="str">
        <f t="shared" si="18"/>
        <v>0-2 Years</v>
      </c>
      <c r="AO294" t="str">
        <f t="shared" si="19"/>
        <v>26-35 years</v>
      </c>
    </row>
    <row r="295" spans="1:41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16"/>
        <v>1</v>
      </c>
      <c r="AM295" t="str">
        <f t="shared" si="17"/>
        <v>6-10 Years</v>
      </c>
      <c r="AN295" t="str">
        <f t="shared" si="18"/>
        <v>6-10 Years</v>
      </c>
      <c r="AO295" t="str">
        <f t="shared" si="19"/>
        <v>26-35 years</v>
      </c>
    </row>
    <row r="296" spans="1:41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16"/>
        <v>1</v>
      </c>
      <c r="AM296" t="str">
        <f t="shared" si="17"/>
        <v>3-5 Years</v>
      </c>
      <c r="AN296" t="str">
        <f t="shared" si="18"/>
        <v>0-2 Years</v>
      </c>
      <c r="AO296" t="str">
        <f t="shared" si="19"/>
        <v>36-45 years</v>
      </c>
    </row>
    <row r="297" spans="1:41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16"/>
        <v>1</v>
      </c>
      <c r="AM297" t="str">
        <f t="shared" si="17"/>
        <v>16-20 Years</v>
      </c>
      <c r="AN297" t="str">
        <f t="shared" si="18"/>
        <v>3-5 Years</v>
      </c>
      <c r="AO297" t="str">
        <f t="shared" si="19"/>
        <v>36-45 years</v>
      </c>
    </row>
    <row r="298" spans="1:41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16"/>
        <v>1</v>
      </c>
      <c r="AM298" t="str">
        <f t="shared" si="17"/>
        <v>0-2 Years</v>
      </c>
      <c r="AN298" t="str">
        <f t="shared" si="18"/>
        <v>0-2 Years</v>
      </c>
      <c r="AO298" t="str">
        <f t="shared" si="19"/>
        <v>18-25 years</v>
      </c>
    </row>
    <row r="299" spans="1:41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16"/>
        <v>1</v>
      </c>
      <c r="AM299" t="str">
        <f t="shared" si="17"/>
        <v>11-15 Years</v>
      </c>
      <c r="AN299" t="str">
        <f t="shared" si="18"/>
        <v>6-10 Years</v>
      </c>
      <c r="AO299" t="str">
        <f t="shared" si="19"/>
        <v>26-35 years</v>
      </c>
    </row>
    <row r="300" spans="1:41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16"/>
        <v>1</v>
      </c>
      <c r="AM300" t="str">
        <f t="shared" si="17"/>
        <v>0-2 Years</v>
      </c>
      <c r="AN300" t="str">
        <f t="shared" si="18"/>
        <v>0-2 Years</v>
      </c>
      <c r="AO300" t="str">
        <f t="shared" si="19"/>
        <v>36-45 years</v>
      </c>
    </row>
    <row r="301" spans="1:41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16"/>
        <v>1</v>
      </c>
      <c r="AM301" t="str">
        <f t="shared" si="17"/>
        <v>3-5 Years</v>
      </c>
      <c r="AN301" t="str">
        <f t="shared" si="18"/>
        <v>0-2 Years</v>
      </c>
      <c r="AO301" t="str">
        <f t="shared" si="19"/>
        <v>46-55 Years</v>
      </c>
    </row>
    <row r="302" spans="1:41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16"/>
        <v>1</v>
      </c>
      <c r="AM302" t="str">
        <f t="shared" si="17"/>
        <v>21+ Years</v>
      </c>
      <c r="AN302" t="str">
        <f t="shared" si="18"/>
        <v>0-2 Years</v>
      </c>
      <c r="AO302" t="str">
        <f t="shared" si="19"/>
        <v>36-45 years</v>
      </c>
    </row>
    <row r="303" spans="1:41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16"/>
        <v>1</v>
      </c>
      <c r="AM303" t="str">
        <f t="shared" si="17"/>
        <v>0-2 Years</v>
      </c>
      <c r="AN303" t="str">
        <f t="shared" si="18"/>
        <v>0-2 Years</v>
      </c>
      <c r="AO303" t="str">
        <f t="shared" si="19"/>
        <v>18-25 years</v>
      </c>
    </row>
    <row r="304" spans="1:41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16"/>
        <v>1</v>
      </c>
      <c r="AM304" t="str">
        <f t="shared" si="17"/>
        <v>6-10 Years</v>
      </c>
      <c r="AN304" t="str">
        <f t="shared" si="18"/>
        <v>0-2 Years</v>
      </c>
      <c r="AO304" t="str">
        <f t="shared" si="19"/>
        <v>26-35 years</v>
      </c>
    </row>
    <row r="305" spans="1:41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16"/>
        <v>1</v>
      </c>
      <c r="AM305" t="str">
        <f t="shared" si="17"/>
        <v>6-10 Years</v>
      </c>
      <c r="AN305" t="str">
        <f t="shared" si="18"/>
        <v>6-10 Years</v>
      </c>
      <c r="AO305" t="str">
        <f t="shared" si="19"/>
        <v>26-35 years</v>
      </c>
    </row>
    <row r="306" spans="1:41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16"/>
        <v>1</v>
      </c>
      <c r="AM306" t="str">
        <f t="shared" si="17"/>
        <v>16-20 Years</v>
      </c>
      <c r="AN306" t="str">
        <f t="shared" si="18"/>
        <v>3-5 Years</v>
      </c>
      <c r="AO306" t="str">
        <f t="shared" si="19"/>
        <v>36-45 years</v>
      </c>
    </row>
    <row r="307" spans="1:41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16"/>
        <v>1</v>
      </c>
      <c r="AM307" t="str">
        <f t="shared" si="17"/>
        <v>6-10 Years</v>
      </c>
      <c r="AN307" t="str">
        <f t="shared" si="18"/>
        <v>0-2 Years</v>
      </c>
      <c r="AO307" t="str">
        <f t="shared" si="19"/>
        <v>36-45 years</v>
      </c>
    </row>
    <row r="308" spans="1:41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16"/>
        <v>1</v>
      </c>
      <c r="AM308" t="str">
        <f t="shared" si="17"/>
        <v>11-15 Years</v>
      </c>
      <c r="AN308" t="str">
        <f t="shared" si="18"/>
        <v>3-5 Years</v>
      </c>
      <c r="AO308" t="str">
        <f t="shared" si="19"/>
        <v>26-35 years</v>
      </c>
    </row>
    <row r="309" spans="1:41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16"/>
        <v>1</v>
      </c>
      <c r="AM309" t="str">
        <f t="shared" si="17"/>
        <v>6-10 Years</v>
      </c>
      <c r="AN309" t="str">
        <f t="shared" si="18"/>
        <v>0-2 Years</v>
      </c>
      <c r="AO309" t="str">
        <f t="shared" si="19"/>
        <v>36-45 years</v>
      </c>
    </row>
    <row r="310" spans="1:41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16"/>
        <v>1</v>
      </c>
      <c r="AM310" t="str">
        <f t="shared" si="17"/>
        <v>3-5 Years</v>
      </c>
      <c r="AN310" t="str">
        <f t="shared" si="18"/>
        <v>0-2 Years</v>
      </c>
      <c r="AO310" t="str">
        <f t="shared" si="19"/>
        <v>56+ years</v>
      </c>
    </row>
    <row r="311" spans="1:41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16"/>
        <v>1</v>
      </c>
      <c r="AM311" t="str">
        <f t="shared" si="17"/>
        <v>3-5 Years</v>
      </c>
      <c r="AN311" t="str">
        <f t="shared" si="18"/>
        <v>0-2 Years</v>
      </c>
      <c r="AO311" t="str">
        <f t="shared" si="19"/>
        <v>26-35 years</v>
      </c>
    </row>
    <row r="312" spans="1:41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16"/>
        <v>1</v>
      </c>
      <c r="AM312" t="str">
        <f t="shared" si="17"/>
        <v>0-2 Years</v>
      </c>
      <c r="AN312" t="str">
        <f t="shared" si="18"/>
        <v>0-2 Years</v>
      </c>
      <c r="AO312" t="str">
        <f t="shared" si="19"/>
        <v>26-35 years</v>
      </c>
    </row>
    <row r="313" spans="1:41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16"/>
        <v>1</v>
      </c>
      <c r="AM313" t="str">
        <f t="shared" si="17"/>
        <v>21+ Years</v>
      </c>
      <c r="AN313" t="str">
        <f t="shared" si="18"/>
        <v>6-10 Years</v>
      </c>
      <c r="AO313" t="str">
        <f t="shared" si="19"/>
        <v>36-45 years</v>
      </c>
    </row>
    <row r="314" spans="1:41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16"/>
        <v>1</v>
      </c>
      <c r="AM314" t="str">
        <f t="shared" si="17"/>
        <v>0-2 Years</v>
      </c>
      <c r="AN314" t="str">
        <f t="shared" si="18"/>
        <v>0-2 Years</v>
      </c>
      <c r="AO314" t="str">
        <f t="shared" si="19"/>
        <v>26-35 years</v>
      </c>
    </row>
    <row r="315" spans="1:41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16"/>
        <v>1</v>
      </c>
      <c r="AM315" t="str">
        <f t="shared" si="17"/>
        <v>6-10 Years</v>
      </c>
      <c r="AN315" t="str">
        <f t="shared" si="18"/>
        <v>6-10 Years</v>
      </c>
      <c r="AO315" t="str">
        <f t="shared" si="19"/>
        <v>26-35 years</v>
      </c>
    </row>
    <row r="316" spans="1:41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16"/>
        <v>1</v>
      </c>
      <c r="AM316" t="str">
        <f t="shared" si="17"/>
        <v>21+ Years</v>
      </c>
      <c r="AN316" t="str">
        <f t="shared" si="18"/>
        <v>11-15 Years</v>
      </c>
      <c r="AO316" t="str">
        <f t="shared" si="19"/>
        <v>36-45 years</v>
      </c>
    </row>
    <row r="317" spans="1:41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16"/>
        <v>1</v>
      </c>
      <c r="AM317" t="str">
        <f t="shared" si="17"/>
        <v>6-10 Years</v>
      </c>
      <c r="AN317" t="str">
        <f t="shared" si="18"/>
        <v>0-2 Years</v>
      </c>
      <c r="AO317" t="str">
        <f t="shared" si="19"/>
        <v>36-45 years</v>
      </c>
    </row>
    <row r="318" spans="1:41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16"/>
        <v>1</v>
      </c>
      <c r="AM318" t="str">
        <f t="shared" si="17"/>
        <v>6-10 Years</v>
      </c>
      <c r="AN318" t="str">
        <f t="shared" si="18"/>
        <v>0-2 Years</v>
      </c>
      <c r="AO318" t="str">
        <f t="shared" si="19"/>
        <v>46-55 Years</v>
      </c>
    </row>
    <row r="319" spans="1:41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16"/>
        <v>1</v>
      </c>
      <c r="AM319" t="str">
        <f t="shared" si="17"/>
        <v>6-10 Years</v>
      </c>
      <c r="AN319" t="str">
        <f t="shared" si="18"/>
        <v>6-10 Years</v>
      </c>
      <c r="AO319" t="str">
        <f t="shared" si="19"/>
        <v>46-55 Years</v>
      </c>
    </row>
    <row r="320" spans="1:41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16"/>
        <v>1</v>
      </c>
      <c r="AM320" t="str">
        <f t="shared" si="17"/>
        <v>3-5 Years</v>
      </c>
      <c r="AN320" t="str">
        <f t="shared" si="18"/>
        <v>0-2 Years</v>
      </c>
      <c r="AO320" t="str">
        <f t="shared" si="19"/>
        <v>26-35 years</v>
      </c>
    </row>
    <row r="321" spans="1:41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16"/>
        <v>1</v>
      </c>
      <c r="AM321" t="str">
        <f t="shared" si="17"/>
        <v>11-15 Years</v>
      </c>
      <c r="AN321" t="str">
        <f t="shared" si="18"/>
        <v>11-15 Years</v>
      </c>
      <c r="AO321" t="str">
        <f t="shared" si="19"/>
        <v>26-35 years</v>
      </c>
    </row>
    <row r="322" spans="1:41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si="16"/>
        <v>1</v>
      </c>
      <c r="AM322" t="str">
        <f t="shared" si="17"/>
        <v>3-5 Years</v>
      </c>
      <c r="AN322" t="str">
        <f t="shared" si="18"/>
        <v>0-2 Years</v>
      </c>
      <c r="AO322" t="str">
        <f t="shared" si="19"/>
        <v>26-35 years</v>
      </c>
    </row>
    <row r="323" spans="1:41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ref="AJ323:AJ386" si="20">COUNTIFS($A$2:$A$1471,A323,$B$2:$B$1471,B323,$C$2:$C$1471,C323,$D$2:$D$1471,D323,$E$2:$E$1471,E323,$F$2:$F$1471,F323,$G$2:$G$1471,G323,$H$2:$H$1471,H323,$I$2:$I$1471,I323,$J$2:$J$1471,J323,$K$2:$K$1471,K323,$L$2:$L$1471,L323,$M$2:$M$1471,M323,$N$2:$N$1471,N323,$O$2:$O$1471,O323,$P$2:$P$1471,P323,$Q$2:$Q$1471,Q323,$R$2:$R$1471,R323,$S$2:$S$1471,S323,$T$2:$T$1471,T323,$U$2:$U$1471,U323,$V$2:$V$1471,V323,$W$2:$W$1471,W323,$X$2:$X$1471,X323,$Y$2:$Y$1471,Y323,$Z$2:$Z$1471,Z323,$AA$2:$AA$1471,AA323,$AB$2:$AB$1471,AB323,$AC$2:$AC$1471,AC323,$AD$2:$AD$1471,AD323,$AE$2:$AE$1471,AE323,$AF$2:$AF$1471,AF323,$AG$2:$AG$1471,AG323,$AH$2:$AH$1471,AH323,$AI$2:$AI$1471,AI323)</f>
        <v>1</v>
      </c>
      <c r="AM323" t="str">
        <f t="shared" ref="AM323:AM386" si="21">IF(AF323&lt;=2,"0-2 Years",IF(AF323&lt;=5,"3-5 Years",IF(AF323&lt;=10,"6-10 Years",IF(AF323&lt;=15,"11-15 Years",IF(AF323&lt;=20,"16-20 Years","21+ Years")))))</f>
        <v>6-10 Years</v>
      </c>
      <c r="AN323" t="str">
        <f t="shared" ref="AN323:AN386" si="22">IF(AH323&lt;=2,"0-2 Years",IF(AH323&lt;=5,"3-5 Years",IF(AH323&lt;=10,"6-10 Years","11-15 Years")))</f>
        <v>0-2 Years</v>
      </c>
      <c r="AO323" t="str">
        <f t="shared" ref="AO323:AO386" si="23">IF(A323&lt;=25,"18-25 years",IF(A323&lt;=35,"26-35 years",IF(A323&lt;=45,"36-45 years",IF(A323&lt;=55,"46-55 Years","56+ years"))))</f>
        <v>26-35 years</v>
      </c>
    </row>
    <row r="324" spans="1:41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20"/>
        <v>1</v>
      </c>
      <c r="AM324" t="str">
        <f t="shared" si="21"/>
        <v>6-10 Years</v>
      </c>
      <c r="AN324" t="str">
        <f t="shared" si="22"/>
        <v>0-2 Years</v>
      </c>
      <c r="AO324" t="str">
        <f t="shared" si="23"/>
        <v>26-35 years</v>
      </c>
    </row>
    <row r="325" spans="1:41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20"/>
        <v>1</v>
      </c>
      <c r="AM325" t="str">
        <f t="shared" si="21"/>
        <v>3-5 Years</v>
      </c>
      <c r="AN325" t="str">
        <f t="shared" si="22"/>
        <v>0-2 Years</v>
      </c>
      <c r="AO325" t="str">
        <f t="shared" si="23"/>
        <v>26-35 years</v>
      </c>
    </row>
    <row r="326" spans="1:41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20"/>
        <v>1</v>
      </c>
      <c r="AM326" t="str">
        <f t="shared" si="21"/>
        <v>6-10 Years</v>
      </c>
      <c r="AN326" t="str">
        <f t="shared" si="22"/>
        <v>0-2 Years</v>
      </c>
      <c r="AO326" t="str">
        <f t="shared" si="23"/>
        <v>26-35 years</v>
      </c>
    </row>
    <row r="327" spans="1:41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20"/>
        <v>1</v>
      </c>
      <c r="AM327" t="str">
        <f t="shared" si="21"/>
        <v>6-10 Years</v>
      </c>
      <c r="AN327" t="str">
        <f t="shared" si="22"/>
        <v>6-10 Years</v>
      </c>
      <c r="AO327" t="str">
        <f t="shared" si="23"/>
        <v>26-35 years</v>
      </c>
    </row>
    <row r="328" spans="1:41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20"/>
        <v>1</v>
      </c>
      <c r="AM328" t="str">
        <f t="shared" si="21"/>
        <v>21+ Years</v>
      </c>
      <c r="AN328" t="str">
        <f t="shared" si="22"/>
        <v>11-15 Years</v>
      </c>
      <c r="AO328" t="str">
        <f t="shared" si="23"/>
        <v>36-45 years</v>
      </c>
    </row>
    <row r="329" spans="1:41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20"/>
        <v>1</v>
      </c>
      <c r="AM329" t="str">
        <f t="shared" si="21"/>
        <v>0-2 Years</v>
      </c>
      <c r="AN329" t="str">
        <f t="shared" si="22"/>
        <v>0-2 Years</v>
      </c>
      <c r="AO329" t="str">
        <f t="shared" si="23"/>
        <v>36-45 years</v>
      </c>
    </row>
    <row r="330" spans="1:41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20"/>
        <v>1</v>
      </c>
      <c r="AM330" t="str">
        <f t="shared" si="21"/>
        <v>6-10 Years</v>
      </c>
      <c r="AN330" t="str">
        <f t="shared" si="22"/>
        <v>0-2 Years</v>
      </c>
      <c r="AO330" t="str">
        <f t="shared" si="23"/>
        <v>26-35 years</v>
      </c>
    </row>
    <row r="331" spans="1:41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20"/>
        <v>1</v>
      </c>
      <c r="AM331" t="str">
        <f t="shared" si="21"/>
        <v>3-5 Years</v>
      </c>
      <c r="AN331" t="str">
        <f t="shared" si="22"/>
        <v>0-2 Years</v>
      </c>
      <c r="AO331" t="str">
        <f t="shared" si="23"/>
        <v>46-55 Years</v>
      </c>
    </row>
    <row r="332" spans="1:41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20"/>
        <v>1</v>
      </c>
      <c r="AM332" t="str">
        <f t="shared" si="21"/>
        <v>6-10 Years</v>
      </c>
      <c r="AN332" t="str">
        <f t="shared" si="22"/>
        <v>0-2 Years</v>
      </c>
      <c r="AO332" t="str">
        <f t="shared" si="23"/>
        <v>36-45 years</v>
      </c>
    </row>
    <row r="333" spans="1:41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20"/>
        <v>1</v>
      </c>
      <c r="AM333" t="str">
        <f t="shared" si="21"/>
        <v>3-5 Years</v>
      </c>
      <c r="AN333" t="str">
        <f t="shared" si="22"/>
        <v>0-2 Years</v>
      </c>
      <c r="AO333" t="str">
        <f t="shared" si="23"/>
        <v>26-35 years</v>
      </c>
    </row>
    <row r="334" spans="1:41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20"/>
        <v>1</v>
      </c>
      <c r="AM334" t="str">
        <f t="shared" si="21"/>
        <v>3-5 Years</v>
      </c>
      <c r="AN334" t="str">
        <f t="shared" si="22"/>
        <v>0-2 Years</v>
      </c>
      <c r="AO334" t="str">
        <f t="shared" si="23"/>
        <v>46-55 Years</v>
      </c>
    </row>
    <row r="335" spans="1:41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20"/>
        <v>1</v>
      </c>
      <c r="AM335" t="str">
        <f t="shared" si="21"/>
        <v>0-2 Years</v>
      </c>
      <c r="AN335" t="str">
        <f t="shared" si="22"/>
        <v>0-2 Years</v>
      </c>
      <c r="AO335" t="str">
        <f t="shared" si="23"/>
        <v>36-45 years</v>
      </c>
    </row>
    <row r="336" spans="1:41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20"/>
        <v>1</v>
      </c>
      <c r="AM336" t="str">
        <f t="shared" si="21"/>
        <v>6-10 Years</v>
      </c>
      <c r="AN336" t="str">
        <f t="shared" si="22"/>
        <v>6-10 Years</v>
      </c>
      <c r="AO336" t="str">
        <f t="shared" si="23"/>
        <v>36-45 years</v>
      </c>
    </row>
    <row r="337" spans="1:41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20"/>
        <v>1</v>
      </c>
      <c r="AM337" t="str">
        <f t="shared" si="21"/>
        <v>3-5 Years</v>
      </c>
      <c r="AN337" t="str">
        <f t="shared" si="22"/>
        <v>0-2 Years</v>
      </c>
      <c r="AO337" t="str">
        <f t="shared" si="23"/>
        <v>36-45 years</v>
      </c>
    </row>
    <row r="338" spans="1:41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20"/>
        <v>1</v>
      </c>
      <c r="AM338" t="str">
        <f t="shared" si="21"/>
        <v>6-10 Years</v>
      </c>
      <c r="AN338" t="str">
        <f t="shared" si="22"/>
        <v>0-2 Years</v>
      </c>
      <c r="AO338" t="str">
        <f t="shared" si="23"/>
        <v>26-35 years</v>
      </c>
    </row>
    <row r="339" spans="1:41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20"/>
        <v>1</v>
      </c>
      <c r="AM339" t="str">
        <f t="shared" si="21"/>
        <v>3-5 Years</v>
      </c>
      <c r="AN339" t="str">
        <f t="shared" si="22"/>
        <v>0-2 Years</v>
      </c>
      <c r="AO339" t="str">
        <f t="shared" si="23"/>
        <v>26-35 years</v>
      </c>
    </row>
    <row r="340" spans="1:41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20"/>
        <v>1</v>
      </c>
      <c r="AM340" t="str">
        <f t="shared" si="21"/>
        <v>6-10 Years</v>
      </c>
      <c r="AN340" t="str">
        <f t="shared" si="22"/>
        <v>0-2 Years</v>
      </c>
      <c r="AO340" t="str">
        <f t="shared" si="23"/>
        <v>26-35 years</v>
      </c>
    </row>
    <row r="341" spans="1:41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20"/>
        <v>1</v>
      </c>
      <c r="AM341" t="str">
        <f t="shared" si="21"/>
        <v>6-10 Years</v>
      </c>
      <c r="AN341" t="str">
        <f t="shared" si="22"/>
        <v>0-2 Years</v>
      </c>
      <c r="AO341" t="str">
        <f t="shared" si="23"/>
        <v>26-35 years</v>
      </c>
    </row>
    <row r="342" spans="1:41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20"/>
        <v>1</v>
      </c>
      <c r="AM342" t="str">
        <f t="shared" si="21"/>
        <v>6-10 Years</v>
      </c>
      <c r="AN342" t="str">
        <f t="shared" si="22"/>
        <v>0-2 Years</v>
      </c>
      <c r="AO342" t="str">
        <f t="shared" si="23"/>
        <v>36-45 years</v>
      </c>
    </row>
    <row r="343" spans="1:41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20"/>
        <v>1</v>
      </c>
      <c r="AM343" t="str">
        <f t="shared" si="21"/>
        <v>11-15 Years</v>
      </c>
      <c r="AN343" t="str">
        <f t="shared" si="22"/>
        <v>0-2 Years</v>
      </c>
      <c r="AO343" t="str">
        <f t="shared" si="23"/>
        <v>36-45 years</v>
      </c>
    </row>
    <row r="344" spans="1:41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20"/>
        <v>1</v>
      </c>
      <c r="AM344" t="str">
        <f t="shared" si="21"/>
        <v>11-15 Years</v>
      </c>
      <c r="AN344" t="str">
        <f t="shared" si="22"/>
        <v>3-5 Years</v>
      </c>
      <c r="AO344" t="str">
        <f t="shared" si="23"/>
        <v>26-35 years</v>
      </c>
    </row>
    <row r="345" spans="1:41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20"/>
        <v>1</v>
      </c>
      <c r="AM345" t="str">
        <f t="shared" si="21"/>
        <v>6-10 Years</v>
      </c>
      <c r="AN345" t="str">
        <f t="shared" si="22"/>
        <v>0-2 Years</v>
      </c>
      <c r="AO345" t="str">
        <f t="shared" si="23"/>
        <v>26-35 years</v>
      </c>
    </row>
    <row r="346" spans="1:41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20"/>
        <v>1</v>
      </c>
      <c r="AM346" t="str">
        <f t="shared" si="21"/>
        <v>16-20 Years</v>
      </c>
      <c r="AN346" t="str">
        <f t="shared" si="22"/>
        <v>0-2 Years</v>
      </c>
      <c r="AO346" t="str">
        <f t="shared" si="23"/>
        <v>26-35 years</v>
      </c>
    </row>
    <row r="347" spans="1:41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20"/>
        <v>1</v>
      </c>
      <c r="AM347" t="str">
        <f t="shared" si="21"/>
        <v>3-5 Years</v>
      </c>
      <c r="AN347" t="str">
        <f t="shared" si="22"/>
        <v>0-2 Years</v>
      </c>
      <c r="AO347" t="str">
        <f t="shared" si="23"/>
        <v>18-25 years</v>
      </c>
    </row>
    <row r="348" spans="1:41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20"/>
        <v>1</v>
      </c>
      <c r="AM348" t="str">
        <f t="shared" si="21"/>
        <v>3-5 Years</v>
      </c>
      <c r="AN348" t="str">
        <f t="shared" si="22"/>
        <v>0-2 Years</v>
      </c>
      <c r="AO348" t="str">
        <f t="shared" si="23"/>
        <v>36-45 years</v>
      </c>
    </row>
    <row r="349" spans="1:41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20"/>
        <v>1</v>
      </c>
      <c r="AM349" t="str">
        <f t="shared" si="21"/>
        <v>0-2 Years</v>
      </c>
      <c r="AN349" t="str">
        <f t="shared" si="22"/>
        <v>0-2 Years</v>
      </c>
      <c r="AO349" t="str">
        <f t="shared" si="23"/>
        <v>46-55 Years</v>
      </c>
    </row>
    <row r="350" spans="1:41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20"/>
        <v>1</v>
      </c>
      <c r="AM350" t="str">
        <f t="shared" si="21"/>
        <v>0-2 Years</v>
      </c>
      <c r="AN350" t="str">
        <f t="shared" si="22"/>
        <v>0-2 Years</v>
      </c>
      <c r="AO350" t="str">
        <f t="shared" si="23"/>
        <v>36-45 years</v>
      </c>
    </row>
    <row r="351" spans="1:41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20"/>
        <v>1</v>
      </c>
      <c r="AM351" t="str">
        <f t="shared" si="21"/>
        <v>3-5 Years</v>
      </c>
      <c r="AN351" t="str">
        <f t="shared" si="22"/>
        <v>0-2 Years</v>
      </c>
      <c r="AO351" t="str">
        <f t="shared" si="23"/>
        <v>26-35 years</v>
      </c>
    </row>
    <row r="352" spans="1:41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20"/>
        <v>1</v>
      </c>
      <c r="AM352" t="str">
        <f t="shared" si="21"/>
        <v>3-5 Years</v>
      </c>
      <c r="AN352" t="str">
        <f t="shared" si="22"/>
        <v>0-2 Years</v>
      </c>
      <c r="AO352" t="str">
        <f t="shared" si="23"/>
        <v>36-45 years</v>
      </c>
    </row>
    <row r="353" spans="1:41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20"/>
        <v>1</v>
      </c>
      <c r="AM353" t="str">
        <f t="shared" si="21"/>
        <v>6-10 Years</v>
      </c>
      <c r="AN353" t="str">
        <f t="shared" si="22"/>
        <v>0-2 Years</v>
      </c>
      <c r="AO353" t="str">
        <f t="shared" si="23"/>
        <v>26-35 years</v>
      </c>
    </row>
    <row r="354" spans="1:41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20"/>
        <v>1</v>
      </c>
      <c r="AM354" t="str">
        <f t="shared" si="21"/>
        <v>0-2 Years</v>
      </c>
      <c r="AN354" t="str">
        <f t="shared" si="22"/>
        <v>0-2 Years</v>
      </c>
      <c r="AO354" t="str">
        <f t="shared" si="23"/>
        <v>46-55 Years</v>
      </c>
    </row>
    <row r="355" spans="1:41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20"/>
        <v>1</v>
      </c>
      <c r="AM355" t="str">
        <f t="shared" si="21"/>
        <v>6-10 Years</v>
      </c>
      <c r="AN355" t="str">
        <f t="shared" si="22"/>
        <v>6-10 Years</v>
      </c>
      <c r="AO355" t="str">
        <f t="shared" si="23"/>
        <v>36-45 years</v>
      </c>
    </row>
    <row r="356" spans="1:41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20"/>
        <v>1</v>
      </c>
      <c r="AM356" t="str">
        <f t="shared" si="21"/>
        <v>0-2 Years</v>
      </c>
      <c r="AN356" t="str">
        <f t="shared" si="22"/>
        <v>0-2 Years</v>
      </c>
      <c r="AO356" t="str">
        <f t="shared" si="23"/>
        <v>26-35 years</v>
      </c>
    </row>
    <row r="357" spans="1:41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20"/>
        <v>1</v>
      </c>
      <c r="AM357" t="str">
        <f t="shared" si="21"/>
        <v>6-10 Years</v>
      </c>
      <c r="AN357" t="str">
        <f t="shared" si="22"/>
        <v>6-10 Years</v>
      </c>
      <c r="AO357" t="str">
        <f t="shared" si="23"/>
        <v>26-35 years</v>
      </c>
    </row>
    <row r="358" spans="1:41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20"/>
        <v>1</v>
      </c>
      <c r="AM358" t="str">
        <f t="shared" si="21"/>
        <v>0-2 Years</v>
      </c>
      <c r="AN358" t="str">
        <f t="shared" si="22"/>
        <v>0-2 Years</v>
      </c>
      <c r="AO358" t="str">
        <f t="shared" si="23"/>
        <v>36-45 years</v>
      </c>
    </row>
    <row r="359" spans="1:41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20"/>
        <v>1</v>
      </c>
      <c r="AM359" t="str">
        <f t="shared" si="21"/>
        <v>3-5 Years</v>
      </c>
      <c r="AN359" t="str">
        <f t="shared" si="22"/>
        <v>0-2 Years</v>
      </c>
      <c r="AO359" t="str">
        <f t="shared" si="23"/>
        <v>18-25 years</v>
      </c>
    </row>
    <row r="360" spans="1:41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20"/>
        <v>1</v>
      </c>
      <c r="AM360" t="str">
        <f t="shared" si="21"/>
        <v>0-2 Years</v>
      </c>
      <c r="AN360" t="str">
        <f t="shared" si="22"/>
        <v>0-2 Years</v>
      </c>
      <c r="AO360" t="str">
        <f t="shared" si="23"/>
        <v>36-45 years</v>
      </c>
    </row>
    <row r="361" spans="1:41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20"/>
        <v>1</v>
      </c>
      <c r="AM361" t="str">
        <f t="shared" si="21"/>
        <v>11-15 Years</v>
      </c>
      <c r="AN361" t="str">
        <f t="shared" si="22"/>
        <v>0-2 Years</v>
      </c>
      <c r="AO361" t="str">
        <f t="shared" si="23"/>
        <v>36-45 years</v>
      </c>
    </row>
    <row r="362" spans="1:41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20"/>
        <v>1</v>
      </c>
      <c r="AM362" t="str">
        <f t="shared" si="21"/>
        <v>3-5 Years</v>
      </c>
      <c r="AN362" t="str">
        <f t="shared" si="22"/>
        <v>0-2 Years</v>
      </c>
      <c r="AO362" t="str">
        <f t="shared" si="23"/>
        <v>56+ years</v>
      </c>
    </row>
    <row r="363" spans="1:41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20"/>
        <v>1</v>
      </c>
      <c r="AM363" t="str">
        <f t="shared" si="21"/>
        <v>6-10 Years</v>
      </c>
      <c r="AN363" t="str">
        <f t="shared" si="22"/>
        <v>0-2 Years</v>
      </c>
      <c r="AO363" t="str">
        <f t="shared" si="23"/>
        <v>36-45 years</v>
      </c>
    </row>
    <row r="364" spans="1:41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20"/>
        <v>1</v>
      </c>
      <c r="AM364" t="str">
        <f t="shared" si="21"/>
        <v>3-5 Years</v>
      </c>
      <c r="AN364" t="str">
        <f t="shared" si="22"/>
        <v>0-2 Years</v>
      </c>
      <c r="AO364" t="str">
        <f t="shared" si="23"/>
        <v>18-25 years</v>
      </c>
    </row>
    <row r="365" spans="1:41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20"/>
        <v>1</v>
      </c>
      <c r="AM365" t="str">
        <f t="shared" si="21"/>
        <v>0-2 Years</v>
      </c>
      <c r="AN365" t="str">
        <f t="shared" si="22"/>
        <v>0-2 Years</v>
      </c>
      <c r="AO365" t="str">
        <f t="shared" si="23"/>
        <v>26-35 years</v>
      </c>
    </row>
    <row r="366" spans="1:41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20"/>
        <v>1</v>
      </c>
      <c r="AM366" t="str">
        <f t="shared" si="21"/>
        <v>3-5 Years</v>
      </c>
      <c r="AN366" t="str">
        <f t="shared" si="22"/>
        <v>0-2 Years</v>
      </c>
      <c r="AO366" t="str">
        <f t="shared" si="23"/>
        <v>36-45 years</v>
      </c>
    </row>
    <row r="367" spans="1:41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20"/>
        <v>1</v>
      </c>
      <c r="AM367" t="str">
        <f t="shared" si="21"/>
        <v>0-2 Years</v>
      </c>
      <c r="AN367" t="str">
        <f t="shared" si="22"/>
        <v>0-2 Years</v>
      </c>
      <c r="AO367" t="str">
        <f t="shared" si="23"/>
        <v>46-55 Years</v>
      </c>
    </row>
    <row r="368" spans="1:41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20"/>
        <v>1</v>
      </c>
      <c r="AM368" t="str">
        <f t="shared" si="21"/>
        <v>6-10 Years</v>
      </c>
      <c r="AN368" t="str">
        <f t="shared" si="22"/>
        <v>6-10 Years</v>
      </c>
      <c r="AO368" t="str">
        <f t="shared" si="23"/>
        <v>36-45 years</v>
      </c>
    </row>
    <row r="369" spans="1:41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20"/>
        <v>1</v>
      </c>
      <c r="AM369" t="str">
        <f t="shared" si="21"/>
        <v>3-5 Years</v>
      </c>
      <c r="AN369" t="str">
        <f t="shared" si="22"/>
        <v>0-2 Years</v>
      </c>
      <c r="AO369" t="str">
        <f t="shared" si="23"/>
        <v>46-55 Years</v>
      </c>
    </row>
    <row r="370" spans="1:41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20"/>
        <v>1</v>
      </c>
      <c r="AM370" t="str">
        <f t="shared" si="21"/>
        <v>6-10 Years</v>
      </c>
      <c r="AN370" t="str">
        <f t="shared" si="22"/>
        <v>0-2 Years</v>
      </c>
      <c r="AO370" t="str">
        <f t="shared" si="23"/>
        <v>36-45 years</v>
      </c>
    </row>
    <row r="371" spans="1:41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20"/>
        <v>1</v>
      </c>
      <c r="AM371" t="str">
        <f t="shared" si="21"/>
        <v>0-2 Years</v>
      </c>
      <c r="AN371" t="str">
        <f t="shared" si="22"/>
        <v>0-2 Years</v>
      </c>
      <c r="AO371" t="str">
        <f t="shared" si="23"/>
        <v>26-35 years</v>
      </c>
    </row>
    <row r="372" spans="1:41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20"/>
        <v>1</v>
      </c>
      <c r="AM372" t="str">
        <f t="shared" si="21"/>
        <v>0-2 Years</v>
      </c>
      <c r="AN372" t="str">
        <f t="shared" si="22"/>
        <v>0-2 Years</v>
      </c>
      <c r="AO372" t="str">
        <f t="shared" si="23"/>
        <v>18-25 years</v>
      </c>
    </row>
    <row r="373" spans="1:41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20"/>
        <v>1</v>
      </c>
      <c r="AM373" t="str">
        <f t="shared" si="21"/>
        <v>3-5 Years</v>
      </c>
      <c r="AN373" t="str">
        <f t="shared" si="22"/>
        <v>0-2 Years</v>
      </c>
      <c r="AO373" t="str">
        <f t="shared" si="23"/>
        <v>26-35 years</v>
      </c>
    </row>
    <row r="374" spans="1:41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20"/>
        <v>1</v>
      </c>
      <c r="AM374" t="str">
        <f t="shared" si="21"/>
        <v>0-2 Years</v>
      </c>
      <c r="AN374" t="str">
        <f t="shared" si="22"/>
        <v>0-2 Years</v>
      </c>
      <c r="AO374" t="str">
        <f t="shared" si="23"/>
        <v>26-35 years</v>
      </c>
    </row>
    <row r="375" spans="1:41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20"/>
        <v>1</v>
      </c>
      <c r="AM375" t="str">
        <f t="shared" si="21"/>
        <v>3-5 Years</v>
      </c>
      <c r="AN375" t="str">
        <f t="shared" si="22"/>
        <v>0-2 Years</v>
      </c>
      <c r="AO375" t="str">
        <f t="shared" si="23"/>
        <v>26-35 years</v>
      </c>
    </row>
    <row r="376" spans="1:41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20"/>
        <v>1</v>
      </c>
      <c r="AM376" t="str">
        <f t="shared" si="21"/>
        <v>6-10 Years</v>
      </c>
      <c r="AN376" t="str">
        <f t="shared" si="22"/>
        <v>0-2 Years</v>
      </c>
      <c r="AO376" t="str">
        <f t="shared" si="23"/>
        <v>26-35 years</v>
      </c>
    </row>
    <row r="377" spans="1:41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20"/>
        <v>1</v>
      </c>
      <c r="AM377" t="str">
        <f t="shared" si="21"/>
        <v>3-5 Years</v>
      </c>
      <c r="AN377" t="str">
        <f t="shared" si="22"/>
        <v>0-2 Years</v>
      </c>
      <c r="AO377" t="str">
        <f t="shared" si="23"/>
        <v>46-55 Years</v>
      </c>
    </row>
    <row r="378" spans="1:41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20"/>
        <v>1</v>
      </c>
      <c r="AM378" t="str">
        <f t="shared" si="21"/>
        <v>6-10 Years</v>
      </c>
      <c r="AN378" t="str">
        <f t="shared" si="22"/>
        <v>0-2 Years</v>
      </c>
      <c r="AO378" t="str">
        <f t="shared" si="23"/>
        <v>46-55 Years</v>
      </c>
    </row>
    <row r="379" spans="1:41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20"/>
        <v>1</v>
      </c>
      <c r="AM379" t="str">
        <f t="shared" si="21"/>
        <v>0-2 Years</v>
      </c>
      <c r="AN379" t="str">
        <f t="shared" si="22"/>
        <v>0-2 Years</v>
      </c>
      <c r="AO379" t="str">
        <f t="shared" si="23"/>
        <v>36-45 years</v>
      </c>
    </row>
    <row r="380" spans="1:41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20"/>
        <v>1</v>
      </c>
      <c r="AM380" t="str">
        <f t="shared" si="21"/>
        <v>3-5 Years</v>
      </c>
      <c r="AN380" t="str">
        <f t="shared" si="22"/>
        <v>0-2 Years</v>
      </c>
      <c r="AO380" t="str">
        <f t="shared" si="23"/>
        <v>26-35 years</v>
      </c>
    </row>
    <row r="381" spans="1:41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20"/>
        <v>1</v>
      </c>
      <c r="AM381" t="str">
        <f t="shared" si="21"/>
        <v>3-5 Years</v>
      </c>
      <c r="AN381" t="str">
        <f t="shared" si="22"/>
        <v>0-2 Years</v>
      </c>
      <c r="AO381" t="str">
        <f t="shared" si="23"/>
        <v>46-55 Years</v>
      </c>
    </row>
    <row r="382" spans="1:41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20"/>
        <v>1</v>
      </c>
      <c r="AM382" t="str">
        <f t="shared" si="21"/>
        <v>3-5 Years</v>
      </c>
      <c r="AN382" t="str">
        <f t="shared" si="22"/>
        <v>0-2 Years</v>
      </c>
      <c r="AO382" t="str">
        <f t="shared" si="23"/>
        <v>18-25 years</v>
      </c>
    </row>
    <row r="383" spans="1:41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20"/>
        <v>1</v>
      </c>
      <c r="AM383" t="str">
        <f t="shared" si="21"/>
        <v>0-2 Years</v>
      </c>
      <c r="AN383" t="str">
        <f t="shared" si="22"/>
        <v>0-2 Years</v>
      </c>
      <c r="AO383" t="str">
        <f t="shared" si="23"/>
        <v>26-35 years</v>
      </c>
    </row>
    <row r="384" spans="1:41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20"/>
        <v>1</v>
      </c>
      <c r="AM384" t="str">
        <f t="shared" si="21"/>
        <v>6-10 Years</v>
      </c>
      <c r="AN384" t="str">
        <f t="shared" si="22"/>
        <v>0-2 Years</v>
      </c>
      <c r="AO384" t="str">
        <f t="shared" si="23"/>
        <v>26-35 years</v>
      </c>
    </row>
    <row r="385" spans="1:41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20"/>
        <v>1</v>
      </c>
      <c r="AM385" t="str">
        <f t="shared" si="21"/>
        <v>0-2 Years</v>
      </c>
      <c r="AN385" t="str">
        <f t="shared" si="22"/>
        <v>0-2 Years</v>
      </c>
      <c r="AO385" t="str">
        <f t="shared" si="23"/>
        <v>18-25 years</v>
      </c>
    </row>
    <row r="386" spans="1:41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si="20"/>
        <v>1</v>
      </c>
      <c r="AM386" t="str">
        <f t="shared" si="21"/>
        <v>6-10 Years</v>
      </c>
      <c r="AN386" t="str">
        <f t="shared" si="22"/>
        <v>6-10 Years</v>
      </c>
      <c r="AO386" t="str">
        <f t="shared" si="23"/>
        <v>36-45 years</v>
      </c>
    </row>
    <row r="387" spans="1:41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ref="AJ387:AJ450" si="24">COUNTIFS($A$2:$A$1471,A387,$B$2:$B$1471,B387,$C$2:$C$1471,C387,$D$2:$D$1471,D387,$E$2:$E$1471,E387,$F$2:$F$1471,F387,$G$2:$G$1471,G387,$H$2:$H$1471,H387,$I$2:$I$1471,I387,$J$2:$J$1471,J387,$K$2:$K$1471,K387,$L$2:$L$1471,L387,$M$2:$M$1471,M387,$N$2:$N$1471,N387,$O$2:$O$1471,O387,$P$2:$P$1471,P387,$Q$2:$Q$1471,Q387,$R$2:$R$1471,R387,$S$2:$S$1471,S387,$T$2:$T$1471,T387,$U$2:$U$1471,U387,$V$2:$V$1471,V387,$W$2:$W$1471,W387,$X$2:$X$1471,X387,$Y$2:$Y$1471,Y387,$Z$2:$Z$1471,Z387,$AA$2:$AA$1471,AA387,$AB$2:$AB$1471,AB387,$AC$2:$AC$1471,AC387,$AD$2:$AD$1471,AD387,$AE$2:$AE$1471,AE387,$AF$2:$AF$1471,AF387,$AG$2:$AG$1471,AG387,$AH$2:$AH$1471,AH387,$AI$2:$AI$1471,AI387)</f>
        <v>1</v>
      </c>
      <c r="AM387" t="str">
        <f t="shared" ref="AM387:AM450" si="25">IF(AF387&lt;=2,"0-2 Years",IF(AF387&lt;=5,"3-5 Years",IF(AF387&lt;=10,"6-10 Years",IF(AF387&lt;=15,"11-15 Years",IF(AF387&lt;=20,"16-20 Years","21+ Years")))))</f>
        <v>0-2 Years</v>
      </c>
      <c r="AN387" t="str">
        <f t="shared" ref="AN387:AN450" si="26">IF(AH387&lt;=2,"0-2 Years",IF(AH387&lt;=5,"3-5 Years",IF(AH387&lt;=10,"6-10 Years","11-15 Years")))</f>
        <v>0-2 Years</v>
      </c>
      <c r="AO387" t="str">
        <f t="shared" ref="AO387:AO450" si="27">IF(A387&lt;=25,"18-25 years",IF(A387&lt;=35,"26-35 years",IF(A387&lt;=45,"36-45 years",IF(A387&lt;=55,"46-55 Years","56+ years"))))</f>
        <v>26-35 years</v>
      </c>
    </row>
    <row r="388" spans="1:41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24"/>
        <v>1</v>
      </c>
      <c r="AM388" t="str">
        <f t="shared" si="25"/>
        <v>16-20 Years</v>
      </c>
      <c r="AN388" t="str">
        <f t="shared" si="26"/>
        <v>11-15 Years</v>
      </c>
      <c r="AO388" t="str">
        <f t="shared" si="27"/>
        <v>36-45 years</v>
      </c>
    </row>
    <row r="389" spans="1:41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24"/>
        <v>1</v>
      </c>
      <c r="AM389" t="str">
        <f t="shared" si="25"/>
        <v>3-5 Years</v>
      </c>
      <c r="AN389" t="str">
        <f t="shared" si="26"/>
        <v>0-2 Years</v>
      </c>
      <c r="AO389" t="str">
        <f t="shared" si="27"/>
        <v>36-45 years</v>
      </c>
    </row>
    <row r="390" spans="1:41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24"/>
        <v>1</v>
      </c>
      <c r="AM390" t="str">
        <f t="shared" si="25"/>
        <v>3-5 Years</v>
      </c>
      <c r="AN390" t="str">
        <f t="shared" si="26"/>
        <v>0-2 Years</v>
      </c>
      <c r="AO390" t="str">
        <f t="shared" si="27"/>
        <v>36-45 years</v>
      </c>
    </row>
    <row r="391" spans="1:41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24"/>
        <v>1</v>
      </c>
      <c r="AM391" t="str">
        <f t="shared" si="25"/>
        <v>0-2 Years</v>
      </c>
      <c r="AN391" t="str">
        <f t="shared" si="26"/>
        <v>0-2 Years</v>
      </c>
      <c r="AO391" t="str">
        <f t="shared" si="27"/>
        <v>36-45 years</v>
      </c>
    </row>
    <row r="392" spans="1:41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24"/>
        <v>1</v>
      </c>
      <c r="AM392" t="str">
        <f t="shared" si="25"/>
        <v>21+ Years</v>
      </c>
      <c r="AN392" t="str">
        <f t="shared" si="26"/>
        <v>3-5 Years</v>
      </c>
      <c r="AO392" t="str">
        <f t="shared" si="27"/>
        <v>36-45 years</v>
      </c>
    </row>
    <row r="393" spans="1:41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24"/>
        <v>1</v>
      </c>
      <c r="AM393" t="str">
        <f t="shared" si="25"/>
        <v>0-2 Years</v>
      </c>
      <c r="AN393" t="str">
        <f t="shared" si="26"/>
        <v>0-2 Years</v>
      </c>
      <c r="AO393" t="str">
        <f t="shared" si="27"/>
        <v>36-45 years</v>
      </c>
    </row>
    <row r="394" spans="1:41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24"/>
        <v>1</v>
      </c>
      <c r="AM394" t="str">
        <f t="shared" si="25"/>
        <v>3-5 Years</v>
      </c>
      <c r="AN394" t="str">
        <f t="shared" si="26"/>
        <v>0-2 Years</v>
      </c>
      <c r="AO394" t="str">
        <f t="shared" si="27"/>
        <v>46-55 Years</v>
      </c>
    </row>
    <row r="395" spans="1:41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24"/>
        <v>1</v>
      </c>
      <c r="AM395" t="str">
        <f t="shared" si="25"/>
        <v>3-5 Years</v>
      </c>
      <c r="AN395" t="str">
        <f t="shared" si="26"/>
        <v>0-2 Years</v>
      </c>
      <c r="AO395" t="str">
        <f t="shared" si="27"/>
        <v>26-35 years</v>
      </c>
    </row>
    <row r="396" spans="1:41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24"/>
        <v>1</v>
      </c>
      <c r="AM396" t="str">
        <f t="shared" si="25"/>
        <v>11-15 Years</v>
      </c>
      <c r="AN396" t="str">
        <f t="shared" si="26"/>
        <v>3-5 Years</v>
      </c>
      <c r="AO396" t="str">
        <f t="shared" si="27"/>
        <v>26-35 years</v>
      </c>
    </row>
    <row r="397" spans="1:41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24"/>
        <v>1</v>
      </c>
      <c r="AM397" t="str">
        <f t="shared" si="25"/>
        <v>3-5 Years</v>
      </c>
      <c r="AN397" t="str">
        <f t="shared" si="26"/>
        <v>0-2 Years</v>
      </c>
      <c r="AO397" t="str">
        <f t="shared" si="27"/>
        <v>36-45 years</v>
      </c>
    </row>
    <row r="398" spans="1:41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24"/>
        <v>1</v>
      </c>
      <c r="AM398" t="str">
        <f t="shared" si="25"/>
        <v>3-5 Years</v>
      </c>
      <c r="AN398" t="str">
        <f t="shared" si="26"/>
        <v>0-2 Years</v>
      </c>
      <c r="AO398" t="str">
        <f t="shared" si="27"/>
        <v>36-45 years</v>
      </c>
    </row>
    <row r="399" spans="1:41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24"/>
        <v>1</v>
      </c>
      <c r="AM399" t="str">
        <f t="shared" si="25"/>
        <v>3-5 Years</v>
      </c>
      <c r="AN399" t="str">
        <f t="shared" si="26"/>
        <v>0-2 Years</v>
      </c>
      <c r="AO399" t="str">
        <f t="shared" si="27"/>
        <v>18-25 years</v>
      </c>
    </row>
    <row r="400" spans="1:41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24"/>
        <v>1</v>
      </c>
      <c r="AM400" t="str">
        <f t="shared" si="25"/>
        <v>11-15 Years</v>
      </c>
      <c r="AN400" t="str">
        <f t="shared" si="26"/>
        <v>6-10 Years</v>
      </c>
      <c r="AO400" t="str">
        <f t="shared" si="27"/>
        <v>36-45 years</v>
      </c>
    </row>
    <row r="401" spans="1:41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24"/>
        <v>1</v>
      </c>
      <c r="AM401" t="str">
        <f t="shared" si="25"/>
        <v>3-5 Years</v>
      </c>
      <c r="AN401" t="str">
        <f t="shared" si="26"/>
        <v>3-5 Years</v>
      </c>
      <c r="AO401" t="str">
        <f t="shared" si="27"/>
        <v>26-35 years</v>
      </c>
    </row>
    <row r="402" spans="1:41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24"/>
        <v>1</v>
      </c>
      <c r="AM402" t="str">
        <f t="shared" si="25"/>
        <v>21+ Years</v>
      </c>
      <c r="AN402" t="str">
        <f t="shared" si="26"/>
        <v>0-2 Years</v>
      </c>
      <c r="AO402" t="str">
        <f t="shared" si="27"/>
        <v>36-45 years</v>
      </c>
    </row>
    <row r="403" spans="1:41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24"/>
        <v>1</v>
      </c>
      <c r="AM403" t="str">
        <f t="shared" si="25"/>
        <v>6-10 Years</v>
      </c>
      <c r="AN403" t="str">
        <f t="shared" si="26"/>
        <v>6-10 Years</v>
      </c>
      <c r="AO403" t="str">
        <f t="shared" si="27"/>
        <v>56+ years</v>
      </c>
    </row>
    <row r="404" spans="1:41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24"/>
        <v>1</v>
      </c>
      <c r="AM404" t="str">
        <f t="shared" si="25"/>
        <v>3-5 Years</v>
      </c>
      <c r="AN404" t="str">
        <f t="shared" si="26"/>
        <v>3-5 Years</v>
      </c>
      <c r="AO404" t="str">
        <f t="shared" si="27"/>
        <v>26-35 years</v>
      </c>
    </row>
    <row r="405" spans="1:41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24"/>
        <v>1</v>
      </c>
      <c r="AM405" t="str">
        <f t="shared" si="25"/>
        <v>6-10 Years</v>
      </c>
      <c r="AN405" t="str">
        <f t="shared" si="26"/>
        <v>0-2 Years</v>
      </c>
      <c r="AO405" t="str">
        <f t="shared" si="27"/>
        <v>36-45 years</v>
      </c>
    </row>
    <row r="406" spans="1:41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24"/>
        <v>1</v>
      </c>
      <c r="AM406" t="str">
        <f t="shared" si="25"/>
        <v>6-10 Years</v>
      </c>
      <c r="AN406" t="str">
        <f t="shared" si="26"/>
        <v>0-2 Years</v>
      </c>
      <c r="AO406" t="str">
        <f t="shared" si="27"/>
        <v>26-35 years</v>
      </c>
    </row>
    <row r="407" spans="1:41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24"/>
        <v>1</v>
      </c>
      <c r="AM407" t="str">
        <f t="shared" si="25"/>
        <v>0-2 Years</v>
      </c>
      <c r="AN407" t="str">
        <f t="shared" si="26"/>
        <v>0-2 Years</v>
      </c>
      <c r="AO407" t="str">
        <f t="shared" si="27"/>
        <v>18-25 years</v>
      </c>
    </row>
    <row r="408" spans="1:41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24"/>
        <v>1</v>
      </c>
      <c r="AM408" t="str">
        <f t="shared" si="25"/>
        <v>3-5 Years</v>
      </c>
      <c r="AN408" t="str">
        <f t="shared" si="26"/>
        <v>0-2 Years</v>
      </c>
      <c r="AO408" t="str">
        <f t="shared" si="27"/>
        <v>46-55 Years</v>
      </c>
    </row>
    <row r="409" spans="1:41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24"/>
        <v>1</v>
      </c>
      <c r="AM409" t="str">
        <f t="shared" si="25"/>
        <v>0-2 Years</v>
      </c>
      <c r="AN409" t="str">
        <f t="shared" si="26"/>
        <v>0-2 Years</v>
      </c>
      <c r="AO409" t="str">
        <f t="shared" si="27"/>
        <v>36-45 years</v>
      </c>
    </row>
    <row r="410" spans="1:41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24"/>
        <v>1</v>
      </c>
      <c r="AM410" t="str">
        <f t="shared" si="25"/>
        <v>3-5 Years</v>
      </c>
      <c r="AN410" t="str">
        <f t="shared" si="26"/>
        <v>0-2 Years</v>
      </c>
      <c r="AO410" t="str">
        <f t="shared" si="27"/>
        <v>46-55 Years</v>
      </c>
    </row>
    <row r="411" spans="1:41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24"/>
        <v>1</v>
      </c>
      <c r="AM411" t="str">
        <f t="shared" si="25"/>
        <v>3-5 Years</v>
      </c>
      <c r="AN411" t="str">
        <f t="shared" si="26"/>
        <v>0-2 Years</v>
      </c>
      <c r="AO411" t="str">
        <f t="shared" si="27"/>
        <v>36-45 years</v>
      </c>
    </row>
    <row r="412" spans="1:41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24"/>
        <v>1</v>
      </c>
      <c r="AM412" t="str">
        <f t="shared" si="25"/>
        <v>3-5 Years</v>
      </c>
      <c r="AN412" t="str">
        <f t="shared" si="26"/>
        <v>0-2 Years</v>
      </c>
      <c r="AO412" t="str">
        <f t="shared" si="27"/>
        <v>26-35 years</v>
      </c>
    </row>
    <row r="413" spans="1:41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24"/>
        <v>1</v>
      </c>
      <c r="AM413" t="str">
        <f t="shared" si="25"/>
        <v>21+ Years</v>
      </c>
      <c r="AN413" t="str">
        <f t="shared" si="26"/>
        <v>11-15 Years</v>
      </c>
      <c r="AO413" t="str">
        <f t="shared" si="27"/>
        <v>56+ years</v>
      </c>
    </row>
    <row r="414" spans="1:41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24"/>
        <v>1</v>
      </c>
      <c r="AM414" t="str">
        <f t="shared" si="25"/>
        <v>6-10 Years</v>
      </c>
      <c r="AN414" t="str">
        <f t="shared" si="26"/>
        <v>0-2 Years</v>
      </c>
      <c r="AO414" t="str">
        <f t="shared" si="27"/>
        <v>46-55 Years</v>
      </c>
    </row>
    <row r="415" spans="1:41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24"/>
        <v>1</v>
      </c>
      <c r="AM415" t="str">
        <f t="shared" si="25"/>
        <v>6-10 Years</v>
      </c>
      <c r="AN415" t="str">
        <f t="shared" si="26"/>
        <v>0-2 Years</v>
      </c>
      <c r="AO415" t="str">
        <f t="shared" si="27"/>
        <v>36-45 years</v>
      </c>
    </row>
    <row r="416" spans="1:41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24"/>
        <v>1</v>
      </c>
      <c r="AM416" t="str">
        <f t="shared" si="25"/>
        <v>3-5 Years</v>
      </c>
      <c r="AN416" t="str">
        <f t="shared" si="26"/>
        <v>0-2 Years</v>
      </c>
      <c r="AO416" t="str">
        <f t="shared" si="27"/>
        <v>18-25 years</v>
      </c>
    </row>
    <row r="417" spans="1:41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24"/>
        <v>1</v>
      </c>
      <c r="AM417" t="str">
        <f t="shared" si="25"/>
        <v>0-2 Years</v>
      </c>
      <c r="AN417" t="str">
        <f t="shared" si="26"/>
        <v>0-2 Years</v>
      </c>
      <c r="AO417" t="str">
        <f t="shared" si="27"/>
        <v>26-35 years</v>
      </c>
    </row>
    <row r="418" spans="1:41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24"/>
        <v>1</v>
      </c>
      <c r="AM418" t="str">
        <f t="shared" si="25"/>
        <v>0-2 Years</v>
      </c>
      <c r="AN418" t="str">
        <f t="shared" si="26"/>
        <v>0-2 Years</v>
      </c>
      <c r="AO418" t="str">
        <f t="shared" si="27"/>
        <v>36-45 years</v>
      </c>
    </row>
    <row r="419" spans="1:41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24"/>
        <v>1</v>
      </c>
      <c r="AM419" t="str">
        <f t="shared" si="25"/>
        <v>16-20 Years</v>
      </c>
      <c r="AN419" t="str">
        <f t="shared" si="26"/>
        <v>0-2 Years</v>
      </c>
      <c r="AO419" t="str">
        <f t="shared" si="27"/>
        <v>36-45 years</v>
      </c>
    </row>
    <row r="420" spans="1:41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24"/>
        <v>1</v>
      </c>
      <c r="AM420" t="str">
        <f t="shared" si="25"/>
        <v>3-5 Years</v>
      </c>
      <c r="AN420" t="str">
        <f t="shared" si="26"/>
        <v>0-2 Years</v>
      </c>
      <c r="AO420" t="str">
        <f t="shared" si="27"/>
        <v>26-35 years</v>
      </c>
    </row>
    <row r="421" spans="1:41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24"/>
        <v>1</v>
      </c>
      <c r="AM421" t="str">
        <f t="shared" si="25"/>
        <v>3-5 Years</v>
      </c>
      <c r="AN421" t="str">
        <f t="shared" si="26"/>
        <v>0-2 Years</v>
      </c>
      <c r="AO421" t="str">
        <f t="shared" si="27"/>
        <v>26-35 years</v>
      </c>
    </row>
    <row r="422" spans="1:41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24"/>
        <v>1</v>
      </c>
      <c r="AM422" t="str">
        <f t="shared" si="25"/>
        <v>6-10 Years</v>
      </c>
      <c r="AN422" t="str">
        <f t="shared" si="26"/>
        <v>0-2 Years</v>
      </c>
      <c r="AO422" t="str">
        <f t="shared" si="27"/>
        <v>26-35 years</v>
      </c>
    </row>
    <row r="423" spans="1:41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24"/>
        <v>1</v>
      </c>
      <c r="AM423" t="str">
        <f t="shared" si="25"/>
        <v>0-2 Years</v>
      </c>
      <c r="AN423" t="str">
        <f t="shared" si="26"/>
        <v>0-2 Years</v>
      </c>
      <c r="AO423" t="str">
        <f t="shared" si="27"/>
        <v>26-35 years</v>
      </c>
    </row>
    <row r="424" spans="1:41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24"/>
        <v>1</v>
      </c>
      <c r="AM424" t="str">
        <f t="shared" si="25"/>
        <v>0-2 Years</v>
      </c>
      <c r="AN424" t="str">
        <f t="shared" si="26"/>
        <v>0-2 Years</v>
      </c>
      <c r="AO424" t="str">
        <f t="shared" si="27"/>
        <v>18-25 years</v>
      </c>
    </row>
    <row r="425" spans="1:41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24"/>
        <v>1</v>
      </c>
      <c r="AM425" t="str">
        <f t="shared" si="25"/>
        <v>6-10 Years</v>
      </c>
      <c r="AN425" t="str">
        <f t="shared" si="26"/>
        <v>6-10 Years</v>
      </c>
      <c r="AO425" t="str">
        <f t="shared" si="27"/>
        <v>26-35 years</v>
      </c>
    </row>
    <row r="426" spans="1:41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24"/>
        <v>1</v>
      </c>
      <c r="AM426" t="str">
        <f t="shared" si="25"/>
        <v>0-2 Years</v>
      </c>
      <c r="AN426" t="str">
        <f t="shared" si="26"/>
        <v>0-2 Years</v>
      </c>
      <c r="AO426" t="str">
        <f t="shared" si="27"/>
        <v>56+ years</v>
      </c>
    </row>
    <row r="427" spans="1:41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24"/>
        <v>1</v>
      </c>
      <c r="AM427" t="str">
        <f t="shared" si="25"/>
        <v>21+ Years</v>
      </c>
      <c r="AN427" t="str">
        <f t="shared" si="26"/>
        <v>11-15 Years</v>
      </c>
      <c r="AO427" t="str">
        <f t="shared" si="27"/>
        <v>46-55 Years</v>
      </c>
    </row>
    <row r="428" spans="1:41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24"/>
        <v>1</v>
      </c>
      <c r="AM428" t="str">
        <f t="shared" si="25"/>
        <v>11-15 Years</v>
      </c>
      <c r="AN428" t="str">
        <f t="shared" si="26"/>
        <v>6-10 Years</v>
      </c>
      <c r="AO428" t="str">
        <f t="shared" si="27"/>
        <v>26-35 years</v>
      </c>
    </row>
    <row r="429" spans="1:41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24"/>
        <v>1</v>
      </c>
      <c r="AM429" t="str">
        <f t="shared" si="25"/>
        <v>16-20 Years</v>
      </c>
      <c r="AN429" t="str">
        <f t="shared" si="26"/>
        <v>11-15 Years</v>
      </c>
      <c r="AO429" t="str">
        <f t="shared" si="27"/>
        <v>56+ years</v>
      </c>
    </row>
    <row r="430" spans="1:41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24"/>
        <v>1</v>
      </c>
      <c r="AM430" t="str">
        <f t="shared" si="25"/>
        <v>3-5 Years</v>
      </c>
      <c r="AN430" t="str">
        <f t="shared" si="26"/>
        <v>0-2 Years</v>
      </c>
      <c r="AO430" t="str">
        <f t="shared" si="27"/>
        <v>46-55 Years</v>
      </c>
    </row>
    <row r="431" spans="1:41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24"/>
        <v>1</v>
      </c>
      <c r="AM431" t="str">
        <f t="shared" si="25"/>
        <v>3-5 Years</v>
      </c>
      <c r="AN431" t="str">
        <f t="shared" si="26"/>
        <v>0-2 Years</v>
      </c>
      <c r="AO431" t="str">
        <f t="shared" si="27"/>
        <v>46-55 Years</v>
      </c>
    </row>
    <row r="432" spans="1:41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24"/>
        <v>1</v>
      </c>
      <c r="AM432" t="str">
        <f t="shared" si="25"/>
        <v>3-5 Years</v>
      </c>
      <c r="AN432" t="str">
        <f t="shared" si="26"/>
        <v>3-5 Years</v>
      </c>
      <c r="AO432" t="str">
        <f t="shared" si="27"/>
        <v>26-35 years</v>
      </c>
    </row>
    <row r="433" spans="1:41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24"/>
        <v>1</v>
      </c>
      <c r="AM433" t="str">
        <f t="shared" si="25"/>
        <v>0-2 Years</v>
      </c>
      <c r="AN433" t="str">
        <f t="shared" si="26"/>
        <v>0-2 Years</v>
      </c>
      <c r="AO433" t="str">
        <f t="shared" si="27"/>
        <v>46-55 Years</v>
      </c>
    </row>
    <row r="434" spans="1:41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24"/>
        <v>1</v>
      </c>
      <c r="AM434" t="str">
        <f t="shared" si="25"/>
        <v>6-10 Years</v>
      </c>
      <c r="AN434" t="str">
        <f t="shared" si="26"/>
        <v>3-5 Years</v>
      </c>
      <c r="AO434" t="str">
        <f t="shared" si="27"/>
        <v>26-35 years</v>
      </c>
    </row>
    <row r="435" spans="1:41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24"/>
        <v>1</v>
      </c>
      <c r="AM435" t="str">
        <f t="shared" si="25"/>
        <v>3-5 Years</v>
      </c>
      <c r="AN435" t="str">
        <f t="shared" si="26"/>
        <v>0-2 Years</v>
      </c>
      <c r="AO435" t="str">
        <f t="shared" si="27"/>
        <v>46-55 Years</v>
      </c>
    </row>
    <row r="436" spans="1:41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24"/>
        <v>1</v>
      </c>
      <c r="AM436" t="str">
        <f t="shared" si="25"/>
        <v>11-15 Years</v>
      </c>
      <c r="AN436" t="str">
        <f t="shared" si="26"/>
        <v>0-2 Years</v>
      </c>
      <c r="AO436" t="str">
        <f t="shared" si="27"/>
        <v>26-35 years</v>
      </c>
    </row>
    <row r="437" spans="1:41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24"/>
        <v>1</v>
      </c>
      <c r="AM437" t="str">
        <f t="shared" si="25"/>
        <v>6-10 Years</v>
      </c>
      <c r="AN437" t="str">
        <f t="shared" si="26"/>
        <v>6-10 Years</v>
      </c>
      <c r="AO437" t="str">
        <f t="shared" si="27"/>
        <v>26-35 years</v>
      </c>
    </row>
    <row r="438" spans="1:41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24"/>
        <v>1</v>
      </c>
      <c r="AM438" t="str">
        <f t="shared" si="25"/>
        <v>3-5 Years</v>
      </c>
      <c r="AN438" t="str">
        <f t="shared" si="26"/>
        <v>0-2 Years</v>
      </c>
      <c r="AO438" t="str">
        <f t="shared" si="27"/>
        <v>26-35 years</v>
      </c>
    </row>
    <row r="439" spans="1:41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24"/>
        <v>1</v>
      </c>
      <c r="AM439" t="str">
        <f t="shared" si="25"/>
        <v>3-5 Years</v>
      </c>
      <c r="AN439" t="str">
        <f t="shared" si="26"/>
        <v>0-2 Years</v>
      </c>
      <c r="AO439" t="str">
        <f t="shared" si="27"/>
        <v>26-35 years</v>
      </c>
    </row>
    <row r="440" spans="1:41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24"/>
        <v>1</v>
      </c>
      <c r="AM440" t="str">
        <f t="shared" si="25"/>
        <v>6-10 Years</v>
      </c>
      <c r="AN440" t="str">
        <f t="shared" si="26"/>
        <v>0-2 Years</v>
      </c>
      <c r="AO440" t="str">
        <f t="shared" si="27"/>
        <v>26-35 years</v>
      </c>
    </row>
    <row r="441" spans="1:41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24"/>
        <v>1</v>
      </c>
      <c r="AM441" t="str">
        <f t="shared" si="25"/>
        <v>0-2 Years</v>
      </c>
      <c r="AN441" t="str">
        <f t="shared" si="26"/>
        <v>0-2 Years</v>
      </c>
      <c r="AO441" t="str">
        <f t="shared" si="27"/>
        <v>26-35 years</v>
      </c>
    </row>
    <row r="442" spans="1:41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24"/>
        <v>1</v>
      </c>
      <c r="AM442" t="str">
        <f t="shared" si="25"/>
        <v>3-5 Years</v>
      </c>
      <c r="AN442" t="str">
        <f t="shared" si="26"/>
        <v>0-2 Years</v>
      </c>
      <c r="AO442" t="str">
        <f t="shared" si="27"/>
        <v>26-35 years</v>
      </c>
    </row>
    <row r="443" spans="1:41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24"/>
        <v>1</v>
      </c>
      <c r="AM443" t="str">
        <f t="shared" si="25"/>
        <v>0-2 Years</v>
      </c>
      <c r="AN443" t="str">
        <f t="shared" si="26"/>
        <v>0-2 Years</v>
      </c>
      <c r="AO443" t="str">
        <f t="shared" si="27"/>
        <v>36-45 years</v>
      </c>
    </row>
    <row r="444" spans="1:41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24"/>
        <v>1</v>
      </c>
      <c r="AM444" t="str">
        <f t="shared" si="25"/>
        <v>6-10 Years</v>
      </c>
      <c r="AN444" t="str">
        <f t="shared" si="26"/>
        <v>6-10 Years</v>
      </c>
      <c r="AO444" t="str">
        <f t="shared" si="27"/>
        <v>36-45 years</v>
      </c>
    </row>
    <row r="445" spans="1:41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24"/>
        <v>1</v>
      </c>
      <c r="AM445" t="str">
        <f t="shared" si="25"/>
        <v>0-2 Years</v>
      </c>
      <c r="AN445" t="str">
        <f t="shared" si="26"/>
        <v>0-2 Years</v>
      </c>
      <c r="AO445" t="str">
        <f t="shared" si="27"/>
        <v>18-25 years</v>
      </c>
    </row>
    <row r="446" spans="1:41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24"/>
        <v>1</v>
      </c>
      <c r="AM446" t="str">
        <f t="shared" si="25"/>
        <v>6-10 Years</v>
      </c>
      <c r="AN446" t="str">
        <f t="shared" si="26"/>
        <v>6-10 Years</v>
      </c>
      <c r="AO446" t="str">
        <f t="shared" si="27"/>
        <v>46-55 Years</v>
      </c>
    </row>
    <row r="447" spans="1:41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24"/>
        <v>1</v>
      </c>
      <c r="AM447" t="str">
        <f t="shared" si="25"/>
        <v>6-10 Years</v>
      </c>
      <c r="AN447" t="str">
        <f t="shared" si="26"/>
        <v>6-10 Years</v>
      </c>
      <c r="AO447" t="str">
        <f t="shared" si="27"/>
        <v>46-55 Years</v>
      </c>
    </row>
    <row r="448" spans="1:41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24"/>
        <v>1</v>
      </c>
      <c r="AM448" t="str">
        <f t="shared" si="25"/>
        <v>11-15 Years</v>
      </c>
      <c r="AN448" t="str">
        <f t="shared" si="26"/>
        <v>0-2 Years</v>
      </c>
      <c r="AO448" t="str">
        <f t="shared" si="27"/>
        <v>36-45 years</v>
      </c>
    </row>
    <row r="449" spans="1:41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24"/>
        <v>1</v>
      </c>
      <c r="AM449" t="str">
        <f t="shared" si="25"/>
        <v>11-15 Years</v>
      </c>
      <c r="AN449" t="str">
        <f t="shared" si="26"/>
        <v>6-10 Years</v>
      </c>
      <c r="AO449" t="str">
        <f t="shared" si="27"/>
        <v>26-35 years</v>
      </c>
    </row>
    <row r="450" spans="1:41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si="24"/>
        <v>1</v>
      </c>
      <c r="AM450" t="str">
        <f t="shared" si="25"/>
        <v>16-20 Years</v>
      </c>
      <c r="AN450" t="str">
        <f t="shared" si="26"/>
        <v>3-5 Years</v>
      </c>
      <c r="AO450" t="str">
        <f t="shared" si="27"/>
        <v>36-45 years</v>
      </c>
    </row>
    <row r="451" spans="1:41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ref="AJ451:AJ514" si="28">COUNTIFS($A$2:$A$1471,A451,$B$2:$B$1471,B451,$C$2:$C$1471,C451,$D$2:$D$1471,D451,$E$2:$E$1471,E451,$F$2:$F$1471,F451,$G$2:$G$1471,G451,$H$2:$H$1471,H451,$I$2:$I$1471,I451,$J$2:$J$1471,J451,$K$2:$K$1471,K451,$L$2:$L$1471,L451,$M$2:$M$1471,M451,$N$2:$N$1471,N451,$O$2:$O$1471,O451,$P$2:$P$1471,P451,$Q$2:$Q$1471,Q451,$R$2:$R$1471,R451,$S$2:$S$1471,S451,$T$2:$T$1471,T451,$U$2:$U$1471,U451,$V$2:$V$1471,V451,$W$2:$W$1471,W451,$X$2:$X$1471,X451,$Y$2:$Y$1471,Y451,$Z$2:$Z$1471,Z451,$AA$2:$AA$1471,AA451,$AB$2:$AB$1471,AB451,$AC$2:$AC$1471,AC451,$AD$2:$AD$1471,AD451,$AE$2:$AE$1471,AE451,$AF$2:$AF$1471,AF451,$AG$2:$AG$1471,AG451,$AH$2:$AH$1471,AH451,$AI$2:$AI$1471,AI451)</f>
        <v>1</v>
      </c>
      <c r="AM451" t="str">
        <f t="shared" ref="AM451:AM514" si="29">IF(AF451&lt;=2,"0-2 Years",IF(AF451&lt;=5,"3-5 Years",IF(AF451&lt;=10,"6-10 Years",IF(AF451&lt;=15,"11-15 Years",IF(AF451&lt;=20,"16-20 Years","21+ Years")))))</f>
        <v>6-10 Years</v>
      </c>
      <c r="AN451" t="str">
        <f t="shared" ref="AN451:AN514" si="30">IF(AH451&lt;=2,"0-2 Years",IF(AH451&lt;=5,"3-5 Years",IF(AH451&lt;=10,"6-10 Years","11-15 Years")))</f>
        <v>0-2 Years</v>
      </c>
      <c r="AO451" t="str">
        <f t="shared" ref="AO451:AO514" si="31">IF(A451&lt;=25,"18-25 years",IF(A451&lt;=35,"26-35 years",IF(A451&lt;=45,"36-45 years",IF(A451&lt;=55,"46-55 Years","56+ years"))))</f>
        <v>36-45 years</v>
      </c>
    </row>
    <row r="452" spans="1:41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28"/>
        <v>1</v>
      </c>
      <c r="AM452" t="str">
        <f t="shared" si="29"/>
        <v>6-10 Years</v>
      </c>
      <c r="AN452" t="str">
        <f t="shared" si="30"/>
        <v>0-2 Years</v>
      </c>
      <c r="AO452" t="str">
        <f t="shared" si="31"/>
        <v>26-35 years</v>
      </c>
    </row>
    <row r="453" spans="1:41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28"/>
        <v>1</v>
      </c>
      <c r="AM453" t="str">
        <f t="shared" si="29"/>
        <v>6-10 Years</v>
      </c>
      <c r="AN453" t="str">
        <f t="shared" si="30"/>
        <v>3-5 Years</v>
      </c>
      <c r="AO453" t="str">
        <f t="shared" si="31"/>
        <v>36-45 years</v>
      </c>
    </row>
    <row r="454" spans="1:41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28"/>
        <v>1</v>
      </c>
      <c r="AM454" t="str">
        <f t="shared" si="29"/>
        <v>6-10 Years</v>
      </c>
      <c r="AN454" t="str">
        <f t="shared" si="30"/>
        <v>3-5 Years</v>
      </c>
      <c r="AO454" t="str">
        <f t="shared" si="31"/>
        <v>36-45 years</v>
      </c>
    </row>
    <row r="455" spans="1:41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28"/>
        <v>1</v>
      </c>
      <c r="AM455" t="str">
        <f t="shared" si="29"/>
        <v>6-10 Years</v>
      </c>
      <c r="AN455" t="str">
        <f t="shared" si="30"/>
        <v>0-2 Years</v>
      </c>
      <c r="AO455" t="str">
        <f t="shared" si="31"/>
        <v>26-35 years</v>
      </c>
    </row>
    <row r="456" spans="1:41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28"/>
        <v>1</v>
      </c>
      <c r="AM456" t="str">
        <f t="shared" si="29"/>
        <v>3-5 Years</v>
      </c>
      <c r="AN456" t="str">
        <f t="shared" si="30"/>
        <v>0-2 Years</v>
      </c>
      <c r="AO456" t="str">
        <f t="shared" si="31"/>
        <v>26-35 years</v>
      </c>
    </row>
    <row r="457" spans="1:41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28"/>
        <v>1</v>
      </c>
      <c r="AM457" t="str">
        <f t="shared" si="29"/>
        <v>6-10 Years</v>
      </c>
      <c r="AN457" t="str">
        <f t="shared" si="30"/>
        <v>0-2 Years</v>
      </c>
      <c r="AO457" t="str">
        <f t="shared" si="31"/>
        <v>26-35 years</v>
      </c>
    </row>
    <row r="458" spans="1:41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28"/>
        <v>1</v>
      </c>
      <c r="AM458" t="str">
        <f t="shared" si="29"/>
        <v>3-5 Years</v>
      </c>
      <c r="AN458" t="str">
        <f t="shared" si="30"/>
        <v>0-2 Years</v>
      </c>
      <c r="AO458" t="str">
        <f t="shared" si="31"/>
        <v>26-35 years</v>
      </c>
    </row>
    <row r="459" spans="1:41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28"/>
        <v>1</v>
      </c>
      <c r="AM459" t="str">
        <f t="shared" si="29"/>
        <v>0-2 Years</v>
      </c>
      <c r="AN459" t="str">
        <f t="shared" si="30"/>
        <v>0-2 Years</v>
      </c>
      <c r="AO459" t="str">
        <f t="shared" si="31"/>
        <v>18-25 years</v>
      </c>
    </row>
    <row r="460" spans="1:41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28"/>
        <v>1</v>
      </c>
      <c r="AM460" t="str">
        <f t="shared" si="29"/>
        <v>0-2 Years</v>
      </c>
      <c r="AN460" t="str">
        <f t="shared" si="30"/>
        <v>0-2 Years</v>
      </c>
      <c r="AO460" t="str">
        <f t="shared" si="31"/>
        <v>36-45 years</v>
      </c>
    </row>
    <row r="461" spans="1:41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28"/>
        <v>1</v>
      </c>
      <c r="AM461" t="str">
        <f t="shared" si="29"/>
        <v>6-10 Years</v>
      </c>
      <c r="AN461" t="str">
        <f t="shared" si="30"/>
        <v>0-2 Years</v>
      </c>
      <c r="AO461" t="str">
        <f t="shared" si="31"/>
        <v>36-45 years</v>
      </c>
    </row>
    <row r="462" spans="1:41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28"/>
        <v>1</v>
      </c>
      <c r="AM462" t="str">
        <f t="shared" si="29"/>
        <v>0-2 Years</v>
      </c>
      <c r="AN462" t="str">
        <f t="shared" si="30"/>
        <v>0-2 Years</v>
      </c>
      <c r="AO462" t="str">
        <f t="shared" si="31"/>
        <v>26-35 years</v>
      </c>
    </row>
    <row r="463" spans="1:41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28"/>
        <v>1</v>
      </c>
      <c r="AM463" t="str">
        <f t="shared" si="29"/>
        <v>3-5 Years</v>
      </c>
      <c r="AN463" t="str">
        <f t="shared" si="30"/>
        <v>0-2 Years</v>
      </c>
      <c r="AO463" t="str">
        <f t="shared" si="31"/>
        <v>26-35 years</v>
      </c>
    </row>
    <row r="464" spans="1:41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28"/>
        <v>1</v>
      </c>
      <c r="AM464" t="str">
        <f t="shared" si="29"/>
        <v>6-10 Years</v>
      </c>
      <c r="AN464" t="str">
        <f t="shared" si="30"/>
        <v>3-5 Years</v>
      </c>
      <c r="AO464" t="str">
        <f t="shared" si="31"/>
        <v>26-35 years</v>
      </c>
    </row>
    <row r="465" spans="1:41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28"/>
        <v>1</v>
      </c>
      <c r="AM465" t="str">
        <f t="shared" si="29"/>
        <v>0-2 Years</v>
      </c>
      <c r="AN465" t="str">
        <f t="shared" si="30"/>
        <v>0-2 Years</v>
      </c>
      <c r="AO465" t="str">
        <f t="shared" si="31"/>
        <v>26-35 years</v>
      </c>
    </row>
    <row r="466" spans="1:41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28"/>
        <v>1</v>
      </c>
      <c r="AM466" t="str">
        <f t="shared" si="29"/>
        <v>6-10 Years</v>
      </c>
      <c r="AN466" t="str">
        <f t="shared" si="30"/>
        <v>0-2 Years</v>
      </c>
      <c r="AO466" t="str">
        <f t="shared" si="31"/>
        <v>36-45 years</v>
      </c>
    </row>
    <row r="467" spans="1:41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28"/>
        <v>1</v>
      </c>
      <c r="AM467" t="str">
        <f t="shared" si="29"/>
        <v>0-2 Years</v>
      </c>
      <c r="AN467" t="str">
        <f t="shared" si="30"/>
        <v>0-2 Years</v>
      </c>
      <c r="AO467" t="str">
        <f t="shared" si="31"/>
        <v>46-55 Years</v>
      </c>
    </row>
    <row r="468" spans="1:41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28"/>
        <v>1</v>
      </c>
      <c r="AM468" t="str">
        <f t="shared" si="29"/>
        <v>16-20 Years</v>
      </c>
      <c r="AN468" t="str">
        <f t="shared" si="30"/>
        <v>11-15 Years</v>
      </c>
      <c r="AO468" t="str">
        <f t="shared" si="31"/>
        <v>36-45 years</v>
      </c>
    </row>
    <row r="469" spans="1:41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28"/>
        <v>1</v>
      </c>
      <c r="AM469" t="str">
        <f t="shared" si="29"/>
        <v>6-10 Years</v>
      </c>
      <c r="AN469" t="str">
        <f t="shared" si="30"/>
        <v>6-10 Years</v>
      </c>
      <c r="AO469" t="str">
        <f t="shared" si="31"/>
        <v>36-45 years</v>
      </c>
    </row>
    <row r="470" spans="1:41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28"/>
        <v>1</v>
      </c>
      <c r="AM470" t="str">
        <f t="shared" si="29"/>
        <v>6-10 Years</v>
      </c>
      <c r="AN470" t="str">
        <f t="shared" si="30"/>
        <v>6-10 Years</v>
      </c>
      <c r="AO470" t="str">
        <f t="shared" si="31"/>
        <v>46-55 Years</v>
      </c>
    </row>
    <row r="471" spans="1:41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28"/>
        <v>1</v>
      </c>
      <c r="AM471" t="str">
        <f t="shared" si="29"/>
        <v>3-5 Years</v>
      </c>
      <c r="AN471" t="str">
        <f t="shared" si="30"/>
        <v>0-2 Years</v>
      </c>
      <c r="AO471" t="str">
        <f t="shared" si="31"/>
        <v>26-35 years</v>
      </c>
    </row>
    <row r="472" spans="1:41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28"/>
        <v>1</v>
      </c>
      <c r="AM472" t="str">
        <f t="shared" si="29"/>
        <v>0-2 Years</v>
      </c>
      <c r="AN472" t="str">
        <f t="shared" si="30"/>
        <v>0-2 Years</v>
      </c>
      <c r="AO472" t="str">
        <f t="shared" si="31"/>
        <v>18-25 years</v>
      </c>
    </row>
    <row r="473" spans="1:41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28"/>
        <v>1</v>
      </c>
      <c r="AM473" t="str">
        <f t="shared" si="29"/>
        <v>0-2 Years</v>
      </c>
      <c r="AN473" t="str">
        <f t="shared" si="30"/>
        <v>0-2 Years</v>
      </c>
      <c r="AO473" t="str">
        <f t="shared" si="31"/>
        <v>36-45 years</v>
      </c>
    </row>
    <row r="474" spans="1:41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28"/>
        <v>1</v>
      </c>
      <c r="AM474" t="str">
        <f t="shared" si="29"/>
        <v>6-10 Years</v>
      </c>
      <c r="AN474" t="str">
        <f t="shared" si="30"/>
        <v>3-5 Years</v>
      </c>
      <c r="AO474" t="str">
        <f t="shared" si="31"/>
        <v>36-45 years</v>
      </c>
    </row>
    <row r="475" spans="1:41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28"/>
        <v>1</v>
      </c>
      <c r="AM475" t="str">
        <f t="shared" si="29"/>
        <v>21+ Years</v>
      </c>
      <c r="AN475" t="str">
        <f t="shared" si="30"/>
        <v>0-2 Years</v>
      </c>
      <c r="AO475" t="str">
        <f t="shared" si="31"/>
        <v>46-55 Years</v>
      </c>
    </row>
    <row r="476" spans="1:41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28"/>
        <v>1</v>
      </c>
      <c r="AM476" t="str">
        <f t="shared" si="29"/>
        <v>6-10 Years</v>
      </c>
      <c r="AN476" t="str">
        <f t="shared" si="30"/>
        <v>0-2 Years</v>
      </c>
      <c r="AO476" t="str">
        <f t="shared" si="31"/>
        <v>18-25 years</v>
      </c>
    </row>
    <row r="477" spans="1:41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28"/>
        <v>1</v>
      </c>
      <c r="AM477" t="str">
        <f t="shared" si="29"/>
        <v>3-5 Years</v>
      </c>
      <c r="AN477" t="str">
        <f t="shared" si="30"/>
        <v>0-2 Years</v>
      </c>
      <c r="AO477" t="str">
        <f t="shared" si="31"/>
        <v>26-35 years</v>
      </c>
    </row>
    <row r="478" spans="1:41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28"/>
        <v>1</v>
      </c>
      <c r="AM478" t="str">
        <f t="shared" si="29"/>
        <v>0-2 Years</v>
      </c>
      <c r="AN478" t="str">
        <f t="shared" si="30"/>
        <v>0-2 Years</v>
      </c>
      <c r="AO478" t="str">
        <f t="shared" si="31"/>
        <v>18-25 years</v>
      </c>
    </row>
    <row r="479" spans="1:41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28"/>
        <v>1</v>
      </c>
      <c r="AM479" t="str">
        <f t="shared" si="29"/>
        <v>21+ Years</v>
      </c>
      <c r="AN479" t="str">
        <f t="shared" si="30"/>
        <v>6-10 Years</v>
      </c>
      <c r="AO479" t="str">
        <f t="shared" si="31"/>
        <v>46-55 Years</v>
      </c>
    </row>
    <row r="480" spans="1:41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28"/>
        <v>1</v>
      </c>
      <c r="AM480" t="str">
        <f t="shared" si="29"/>
        <v>6-10 Years</v>
      </c>
      <c r="AN480" t="str">
        <f t="shared" si="30"/>
        <v>0-2 Years</v>
      </c>
      <c r="AO480" t="str">
        <f t="shared" si="31"/>
        <v>18-25 years</v>
      </c>
    </row>
    <row r="481" spans="1:41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28"/>
        <v>1</v>
      </c>
      <c r="AM481" t="str">
        <f t="shared" si="29"/>
        <v>6-10 Years</v>
      </c>
      <c r="AN481" t="str">
        <f t="shared" si="30"/>
        <v>0-2 Years</v>
      </c>
      <c r="AO481" t="str">
        <f t="shared" si="31"/>
        <v>18-25 years</v>
      </c>
    </row>
    <row r="482" spans="1:41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28"/>
        <v>1</v>
      </c>
      <c r="AM482" t="str">
        <f t="shared" si="29"/>
        <v>0-2 Years</v>
      </c>
      <c r="AN482" t="str">
        <f t="shared" si="30"/>
        <v>0-2 Years</v>
      </c>
      <c r="AO482" t="str">
        <f t="shared" si="31"/>
        <v>26-35 years</v>
      </c>
    </row>
    <row r="483" spans="1:41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28"/>
        <v>1</v>
      </c>
      <c r="AM483" t="str">
        <f t="shared" si="29"/>
        <v>6-10 Years</v>
      </c>
      <c r="AN483" t="str">
        <f t="shared" si="30"/>
        <v>0-2 Years</v>
      </c>
      <c r="AO483" t="str">
        <f t="shared" si="31"/>
        <v>26-35 years</v>
      </c>
    </row>
    <row r="484" spans="1:41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28"/>
        <v>1</v>
      </c>
      <c r="AM484" t="str">
        <f t="shared" si="29"/>
        <v>3-5 Years</v>
      </c>
      <c r="AN484" t="str">
        <f t="shared" si="30"/>
        <v>0-2 Years</v>
      </c>
      <c r="AO484" t="str">
        <f t="shared" si="31"/>
        <v>26-35 years</v>
      </c>
    </row>
    <row r="485" spans="1:41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28"/>
        <v>1</v>
      </c>
      <c r="AM485" t="str">
        <f t="shared" si="29"/>
        <v>3-5 Years</v>
      </c>
      <c r="AN485" t="str">
        <f t="shared" si="30"/>
        <v>0-2 Years</v>
      </c>
      <c r="AO485" t="str">
        <f t="shared" si="31"/>
        <v>26-35 years</v>
      </c>
    </row>
    <row r="486" spans="1:41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28"/>
        <v>1</v>
      </c>
      <c r="AM486" t="str">
        <f t="shared" si="29"/>
        <v>6-10 Years</v>
      </c>
      <c r="AN486" t="str">
        <f t="shared" si="30"/>
        <v>3-5 Years</v>
      </c>
      <c r="AO486" t="str">
        <f t="shared" si="31"/>
        <v>26-35 years</v>
      </c>
    </row>
    <row r="487" spans="1:41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28"/>
        <v>1</v>
      </c>
      <c r="AM487" t="str">
        <f t="shared" si="29"/>
        <v>3-5 Years</v>
      </c>
      <c r="AN487" t="str">
        <f t="shared" si="30"/>
        <v>0-2 Years</v>
      </c>
      <c r="AO487" t="str">
        <f t="shared" si="31"/>
        <v>26-35 years</v>
      </c>
    </row>
    <row r="488" spans="1:41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28"/>
        <v>1</v>
      </c>
      <c r="AM488" t="str">
        <f t="shared" si="29"/>
        <v>3-5 Years</v>
      </c>
      <c r="AN488" t="str">
        <f t="shared" si="30"/>
        <v>0-2 Years</v>
      </c>
      <c r="AO488" t="str">
        <f t="shared" si="31"/>
        <v>36-45 years</v>
      </c>
    </row>
    <row r="489" spans="1:41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28"/>
        <v>1</v>
      </c>
      <c r="AM489" t="str">
        <f t="shared" si="29"/>
        <v>0-2 Years</v>
      </c>
      <c r="AN489" t="str">
        <f t="shared" si="30"/>
        <v>0-2 Years</v>
      </c>
      <c r="AO489" t="str">
        <f t="shared" si="31"/>
        <v>18-25 years</v>
      </c>
    </row>
    <row r="490" spans="1:41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28"/>
        <v>1</v>
      </c>
      <c r="AM490" t="str">
        <f t="shared" si="29"/>
        <v>6-10 Years</v>
      </c>
      <c r="AN490" t="str">
        <f t="shared" si="30"/>
        <v>0-2 Years</v>
      </c>
      <c r="AO490" t="str">
        <f t="shared" si="31"/>
        <v>36-45 years</v>
      </c>
    </row>
    <row r="491" spans="1:41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28"/>
        <v>1</v>
      </c>
      <c r="AM491" t="str">
        <f t="shared" si="29"/>
        <v>0-2 Years</v>
      </c>
      <c r="AN491" t="str">
        <f t="shared" si="30"/>
        <v>0-2 Years</v>
      </c>
      <c r="AO491" t="str">
        <f t="shared" si="31"/>
        <v>36-45 years</v>
      </c>
    </row>
    <row r="492" spans="1:41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28"/>
        <v>1</v>
      </c>
      <c r="AM492" t="str">
        <f t="shared" si="29"/>
        <v>0-2 Years</v>
      </c>
      <c r="AN492" t="str">
        <f t="shared" si="30"/>
        <v>0-2 Years</v>
      </c>
      <c r="AO492" t="str">
        <f t="shared" si="31"/>
        <v>36-45 years</v>
      </c>
    </row>
    <row r="493" spans="1:41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28"/>
        <v>1</v>
      </c>
      <c r="AM493" t="str">
        <f t="shared" si="29"/>
        <v>6-10 Years</v>
      </c>
      <c r="AN493" t="str">
        <f t="shared" si="30"/>
        <v>3-5 Years</v>
      </c>
      <c r="AO493" t="str">
        <f t="shared" si="31"/>
        <v>36-45 years</v>
      </c>
    </row>
    <row r="494" spans="1:41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28"/>
        <v>1</v>
      </c>
      <c r="AM494" t="str">
        <f t="shared" si="29"/>
        <v>3-5 Years</v>
      </c>
      <c r="AN494" t="str">
        <f t="shared" si="30"/>
        <v>0-2 Years</v>
      </c>
      <c r="AO494" t="str">
        <f t="shared" si="31"/>
        <v>46-55 Years</v>
      </c>
    </row>
    <row r="495" spans="1:41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28"/>
        <v>1</v>
      </c>
      <c r="AM495" t="str">
        <f t="shared" si="29"/>
        <v>0-2 Years</v>
      </c>
      <c r="AN495" t="str">
        <f t="shared" si="30"/>
        <v>0-2 Years</v>
      </c>
      <c r="AO495" t="str">
        <f t="shared" si="31"/>
        <v>36-45 years</v>
      </c>
    </row>
    <row r="496" spans="1:41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28"/>
        <v>1</v>
      </c>
      <c r="AM496" t="str">
        <f t="shared" si="29"/>
        <v>6-10 Years</v>
      </c>
      <c r="AN496" t="str">
        <f t="shared" si="30"/>
        <v>0-2 Years</v>
      </c>
      <c r="AO496" t="str">
        <f t="shared" si="31"/>
        <v>26-35 years</v>
      </c>
    </row>
    <row r="497" spans="1:41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28"/>
        <v>1</v>
      </c>
      <c r="AM497" t="str">
        <f t="shared" si="29"/>
        <v>3-5 Years</v>
      </c>
      <c r="AN497" t="str">
        <f t="shared" si="30"/>
        <v>0-2 Years</v>
      </c>
      <c r="AO497" t="str">
        <f t="shared" si="31"/>
        <v>26-35 years</v>
      </c>
    </row>
    <row r="498" spans="1:41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28"/>
        <v>1</v>
      </c>
      <c r="AM498" t="str">
        <f t="shared" si="29"/>
        <v>3-5 Years</v>
      </c>
      <c r="AN498" t="str">
        <f t="shared" si="30"/>
        <v>0-2 Years</v>
      </c>
      <c r="AO498" t="str">
        <f t="shared" si="31"/>
        <v>18-25 years</v>
      </c>
    </row>
    <row r="499" spans="1:41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28"/>
        <v>1</v>
      </c>
      <c r="AM499" t="str">
        <f t="shared" si="29"/>
        <v>0-2 Years</v>
      </c>
      <c r="AN499" t="str">
        <f t="shared" si="30"/>
        <v>0-2 Years</v>
      </c>
      <c r="AO499" t="str">
        <f t="shared" si="31"/>
        <v>36-45 years</v>
      </c>
    </row>
    <row r="500" spans="1:41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28"/>
        <v>1</v>
      </c>
      <c r="AM500" t="str">
        <f t="shared" si="29"/>
        <v>0-2 Years</v>
      </c>
      <c r="AN500" t="str">
        <f t="shared" si="30"/>
        <v>0-2 Years</v>
      </c>
      <c r="AO500" t="str">
        <f t="shared" si="31"/>
        <v>18-25 years</v>
      </c>
    </row>
    <row r="501" spans="1:41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28"/>
        <v>1</v>
      </c>
      <c r="AM501" t="str">
        <f t="shared" si="29"/>
        <v>3-5 Years</v>
      </c>
      <c r="AN501" t="str">
        <f t="shared" si="30"/>
        <v>0-2 Years</v>
      </c>
      <c r="AO501" t="str">
        <f t="shared" si="31"/>
        <v>26-35 years</v>
      </c>
    </row>
    <row r="502" spans="1:41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28"/>
        <v>1</v>
      </c>
      <c r="AM502" t="str">
        <f t="shared" si="29"/>
        <v>6-10 Years</v>
      </c>
      <c r="AN502" t="str">
        <f t="shared" si="30"/>
        <v>0-2 Years</v>
      </c>
      <c r="AO502" t="str">
        <f t="shared" si="31"/>
        <v>26-35 years</v>
      </c>
    </row>
    <row r="503" spans="1:41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28"/>
        <v>1</v>
      </c>
      <c r="AM503" t="str">
        <f t="shared" si="29"/>
        <v>0-2 Years</v>
      </c>
      <c r="AN503" t="str">
        <f t="shared" si="30"/>
        <v>0-2 Years</v>
      </c>
      <c r="AO503" t="str">
        <f t="shared" si="31"/>
        <v>26-35 years</v>
      </c>
    </row>
    <row r="504" spans="1:41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28"/>
        <v>1</v>
      </c>
      <c r="AM504" t="str">
        <f t="shared" si="29"/>
        <v>11-15 Years</v>
      </c>
      <c r="AN504" t="str">
        <f t="shared" si="30"/>
        <v>6-10 Years</v>
      </c>
      <c r="AO504" t="str">
        <f t="shared" si="31"/>
        <v>46-55 Years</v>
      </c>
    </row>
    <row r="505" spans="1:41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28"/>
        <v>1</v>
      </c>
      <c r="AM505" t="str">
        <f t="shared" si="29"/>
        <v>6-10 Years</v>
      </c>
      <c r="AN505" t="str">
        <f t="shared" si="30"/>
        <v>6-10 Years</v>
      </c>
      <c r="AO505" t="str">
        <f t="shared" si="31"/>
        <v>26-35 years</v>
      </c>
    </row>
    <row r="506" spans="1:41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28"/>
        <v>1</v>
      </c>
      <c r="AM506" t="str">
        <f t="shared" si="29"/>
        <v>0-2 Years</v>
      </c>
      <c r="AN506" t="str">
        <f t="shared" si="30"/>
        <v>0-2 Years</v>
      </c>
      <c r="AO506" t="str">
        <f t="shared" si="31"/>
        <v>36-45 years</v>
      </c>
    </row>
    <row r="507" spans="1:41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28"/>
        <v>1</v>
      </c>
      <c r="AM507" t="str">
        <f t="shared" si="29"/>
        <v>3-5 Years</v>
      </c>
      <c r="AN507" t="str">
        <f t="shared" si="30"/>
        <v>0-2 Years</v>
      </c>
      <c r="AO507" t="str">
        <f t="shared" si="31"/>
        <v>26-35 years</v>
      </c>
    </row>
    <row r="508" spans="1:41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28"/>
        <v>1</v>
      </c>
      <c r="AM508" t="str">
        <f t="shared" si="29"/>
        <v>6-10 Years</v>
      </c>
      <c r="AN508" t="str">
        <f t="shared" si="30"/>
        <v>6-10 Years</v>
      </c>
      <c r="AO508" t="str">
        <f t="shared" si="31"/>
        <v>36-45 years</v>
      </c>
    </row>
    <row r="509" spans="1:41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28"/>
        <v>1</v>
      </c>
      <c r="AM509" t="str">
        <f t="shared" si="29"/>
        <v>6-10 Years</v>
      </c>
      <c r="AN509" t="str">
        <f t="shared" si="30"/>
        <v>0-2 Years</v>
      </c>
      <c r="AO509" t="str">
        <f t="shared" si="31"/>
        <v>26-35 years</v>
      </c>
    </row>
    <row r="510" spans="1:41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28"/>
        <v>1</v>
      </c>
      <c r="AM510" t="str">
        <f t="shared" si="29"/>
        <v>16-20 Years</v>
      </c>
      <c r="AN510" t="str">
        <f t="shared" si="30"/>
        <v>11-15 Years</v>
      </c>
      <c r="AO510" t="str">
        <f t="shared" si="31"/>
        <v>26-35 years</v>
      </c>
    </row>
    <row r="511" spans="1:41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28"/>
        <v>1</v>
      </c>
      <c r="AM511" t="str">
        <f t="shared" si="29"/>
        <v>11-15 Years</v>
      </c>
      <c r="AN511" t="str">
        <f t="shared" si="30"/>
        <v>3-5 Years</v>
      </c>
      <c r="AO511" t="str">
        <f t="shared" si="31"/>
        <v>26-35 years</v>
      </c>
    </row>
    <row r="512" spans="1:41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28"/>
        <v>1</v>
      </c>
      <c r="AM512" t="str">
        <f t="shared" si="29"/>
        <v>6-10 Years</v>
      </c>
      <c r="AN512" t="str">
        <f t="shared" si="30"/>
        <v>6-10 Years</v>
      </c>
      <c r="AO512" t="str">
        <f t="shared" si="31"/>
        <v>46-55 Years</v>
      </c>
    </row>
    <row r="513" spans="1:41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28"/>
        <v>1</v>
      </c>
      <c r="AM513" t="str">
        <f t="shared" si="29"/>
        <v>3-5 Years</v>
      </c>
      <c r="AN513" t="str">
        <f t="shared" si="30"/>
        <v>0-2 Years</v>
      </c>
      <c r="AO513" t="str">
        <f t="shared" si="31"/>
        <v>36-45 years</v>
      </c>
    </row>
    <row r="514" spans="1:41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si="28"/>
        <v>1</v>
      </c>
      <c r="AM514" t="str">
        <f t="shared" si="29"/>
        <v>3-5 Years</v>
      </c>
      <c r="AN514" t="str">
        <f t="shared" si="30"/>
        <v>0-2 Years</v>
      </c>
      <c r="AO514" t="str">
        <f t="shared" si="31"/>
        <v>26-35 years</v>
      </c>
    </row>
    <row r="515" spans="1:41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ref="AJ515:AJ578" si="32">COUNTIFS($A$2:$A$1471,A515,$B$2:$B$1471,B515,$C$2:$C$1471,C515,$D$2:$D$1471,D515,$E$2:$E$1471,E515,$F$2:$F$1471,F515,$G$2:$G$1471,G515,$H$2:$H$1471,H515,$I$2:$I$1471,I515,$J$2:$J$1471,J515,$K$2:$K$1471,K515,$L$2:$L$1471,L515,$M$2:$M$1471,M515,$N$2:$N$1471,N515,$O$2:$O$1471,O515,$P$2:$P$1471,P515,$Q$2:$Q$1471,Q515,$R$2:$R$1471,R515,$S$2:$S$1471,S515,$T$2:$T$1471,T515,$U$2:$U$1471,U515,$V$2:$V$1471,V515,$W$2:$W$1471,W515,$X$2:$X$1471,X515,$Y$2:$Y$1471,Y515,$Z$2:$Z$1471,Z515,$AA$2:$AA$1471,AA515,$AB$2:$AB$1471,AB515,$AC$2:$AC$1471,AC515,$AD$2:$AD$1471,AD515,$AE$2:$AE$1471,AE515,$AF$2:$AF$1471,AF515,$AG$2:$AG$1471,AG515,$AH$2:$AH$1471,AH515,$AI$2:$AI$1471,AI515)</f>
        <v>1</v>
      </c>
      <c r="AM515" t="str">
        <f t="shared" ref="AM515:AM578" si="33">IF(AF515&lt;=2,"0-2 Years",IF(AF515&lt;=5,"3-5 Years",IF(AF515&lt;=10,"6-10 Years",IF(AF515&lt;=15,"11-15 Years",IF(AF515&lt;=20,"16-20 Years","21+ Years")))))</f>
        <v>0-2 Years</v>
      </c>
      <c r="AN515" t="str">
        <f t="shared" ref="AN515:AN578" si="34">IF(AH515&lt;=2,"0-2 Years",IF(AH515&lt;=5,"3-5 Years",IF(AH515&lt;=10,"6-10 Years","11-15 Years")))</f>
        <v>0-2 Years</v>
      </c>
      <c r="AO515" t="str">
        <f t="shared" ref="AO515:AO578" si="35">IF(A515&lt;=25,"18-25 years",IF(A515&lt;=35,"26-35 years",IF(A515&lt;=45,"36-45 years",IF(A515&lt;=55,"46-55 Years","56+ years"))))</f>
        <v>18-25 years</v>
      </c>
    </row>
    <row r="516" spans="1:41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32"/>
        <v>1</v>
      </c>
      <c r="AM516" t="str">
        <f t="shared" si="33"/>
        <v>6-10 Years</v>
      </c>
      <c r="AN516" t="str">
        <f t="shared" si="34"/>
        <v>6-10 Years</v>
      </c>
      <c r="AO516" t="str">
        <f t="shared" si="35"/>
        <v>26-35 years</v>
      </c>
    </row>
    <row r="517" spans="1:41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32"/>
        <v>1</v>
      </c>
      <c r="AM517" t="str">
        <f t="shared" si="33"/>
        <v>0-2 Years</v>
      </c>
      <c r="AN517" t="str">
        <f t="shared" si="34"/>
        <v>0-2 Years</v>
      </c>
      <c r="AO517" t="str">
        <f t="shared" si="35"/>
        <v>26-35 years</v>
      </c>
    </row>
    <row r="518" spans="1:41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32"/>
        <v>1</v>
      </c>
      <c r="AM518" t="str">
        <f t="shared" si="33"/>
        <v>3-5 Years</v>
      </c>
      <c r="AN518" t="str">
        <f t="shared" si="34"/>
        <v>0-2 Years</v>
      </c>
      <c r="AO518" t="str">
        <f t="shared" si="35"/>
        <v>18-25 years</v>
      </c>
    </row>
    <row r="519" spans="1:41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32"/>
        <v>1</v>
      </c>
      <c r="AM519" t="str">
        <f t="shared" si="33"/>
        <v>3-5 Years</v>
      </c>
      <c r="AN519" t="str">
        <f t="shared" si="34"/>
        <v>0-2 Years</v>
      </c>
      <c r="AO519" t="str">
        <f t="shared" si="35"/>
        <v>18-25 years</v>
      </c>
    </row>
    <row r="520" spans="1:41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32"/>
        <v>1</v>
      </c>
      <c r="AM520" t="str">
        <f t="shared" si="33"/>
        <v>6-10 Years</v>
      </c>
      <c r="AN520" t="str">
        <f t="shared" si="34"/>
        <v>0-2 Years</v>
      </c>
      <c r="AO520" t="str">
        <f t="shared" si="35"/>
        <v>36-45 years</v>
      </c>
    </row>
    <row r="521" spans="1:41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32"/>
        <v>1</v>
      </c>
      <c r="AM521" t="str">
        <f t="shared" si="33"/>
        <v>6-10 Years</v>
      </c>
      <c r="AN521" t="str">
        <f t="shared" si="34"/>
        <v>0-2 Years</v>
      </c>
      <c r="AO521" t="str">
        <f t="shared" si="35"/>
        <v>26-35 years</v>
      </c>
    </row>
    <row r="522" spans="1:41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32"/>
        <v>1</v>
      </c>
      <c r="AM522" t="str">
        <f t="shared" si="33"/>
        <v>0-2 Years</v>
      </c>
      <c r="AN522" t="str">
        <f t="shared" si="34"/>
        <v>0-2 Years</v>
      </c>
      <c r="AO522" t="str">
        <f t="shared" si="35"/>
        <v>46-55 Years</v>
      </c>
    </row>
    <row r="523" spans="1:41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32"/>
        <v>1</v>
      </c>
      <c r="AM523" t="str">
        <f t="shared" si="33"/>
        <v>6-10 Years</v>
      </c>
      <c r="AN523" t="str">
        <f t="shared" si="34"/>
        <v>0-2 Years</v>
      </c>
      <c r="AO523" t="str">
        <f t="shared" si="35"/>
        <v>26-35 years</v>
      </c>
    </row>
    <row r="524" spans="1:41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32"/>
        <v>1</v>
      </c>
      <c r="AM524" t="str">
        <f t="shared" si="33"/>
        <v>0-2 Years</v>
      </c>
      <c r="AN524" t="str">
        <f t="shared" si="34"/>
        <v>0-2 Years</v>
      </c>
      <c r="AO524" t="str">
        <f t="shared" si="35"/>
        <v>36-45 years</v>
      </c>
    </row>
    <row r="525" spans="1:41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32"/>
        <v>1</v>
      </c>
      <c r="AM525" t="str">
        <f t="shared" si="33"/>
        <v>16-20 Years</v>
      </c>
      <c r="AN525" t="str">
        <f t="shared" si="34"/>
        <v>3-5 Years</v>
      </c>
      <c r="AO525" t="str">
        <f t="shared" si="35"/>
        <v>46-55 Years</v>
      </c>
    </row>
    <row r="526" spans="1:41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32"/>
        <v>1</v>
      </c>
      <c r="AM526" t="str">
        <f t="shared" si="33"/>
        <v>6-10 Years</v>
      </c>
      <c r="AN526" t="str">
        <f t="shared" si="34"/>
        <v>6-10 Years</v>
      </c>
      <c r="AO526" t="str">
        <f t="shared" si="35"/>
        <v>26-35 years</v>
      </c>
    </row>
    <row r="527" spans="1:41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32"/>
        <v>1</v>
      </c>
      <c r="AM527" t="str">
        <f t="shared" si="33"/>
        <v>0-2 Years</v>
      </c>
      <c r="AN527" t="str">
        <f t="shared" si="34"/>
        <v>0-2 Years</v>
      </c>
      <c r="AO527" t="str">
        <f t="shared" si="35"/>
        <v>18-25 years</v>
      </c>
    </row>
    <row r="528" spans="1:41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32"/>
        <v>1</v>
      </c>
      <c r="AM528" t="str">
        <f t="shared" si="33"/>
        <v>16-20 Years</v>
      </c>
      <c r="AN528" t="str">
        <f t="shared" si="34"/>
        <v>11-15 Years</v>
      </c>
      <c r="AO528" t="str">
        <f t="shared" si="35"/>
        <v>36-45 years</v>
      </c>
    </row>
    <row r="529" spans="1:41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32"/>
        <v>1</v>
      </c>
      <c r="AM529" t="str">
        <f t="shared" si="33"/>
        <v>6-10 Years</v>
      </c>
      <c r="AN529" t="str">
        <f t="shared" si="34"/>
        <v>0-2 Years</v>
      </c>
      <c r="AO529" t="str">
        <f t="shared" si="35"/>
        <v>26-35 years</v>
      </c>
    </row>
    <row r="530" spans="1:41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32"/>
        <v>1</v>
      </c>
      <c r="AM530" t="str">
        <f t="shared" si="33"/>
        <v>3-5 Years</v>
      </c>
      <c r="AN530" t="str">
        <f t="shared" si="34"/>
        <v>0-2 Years</v>
      </c>
      <c r="AO530" t="str">
        <f t="shared" si="35"/>
        <v>46-55 Years</v>
      </c>
    </row>
    <row r="531" spans="1:41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32"/>
        <v>1</v>
      </c>
      <c r="AM531" t="str">
        <f t="shared" si="33"/>
        <v>6-10 Years</v>
      </c>
      <c r="AN531" t="str">
        <f t="shared" si="34"/>
        <v>0-2 Years</v>
      </c>
      <c r="AO531" t="str">
        <f t="shared" si="35"/>
        <v>36-45 years</v>
      </c>
    </row>
    <row r="532" spans="1:41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32"/>
        <v>1</v>
      </c>
      <c r="AM532" t="str">
        <f t="shared" si="33"/>
        <v>6-10 Years</v>
      </c>
      <c r="AN532" t="str">
        <f t="shared" si="34"/>
        <v>0-2 Years</v>
      </c>
      <c r="AO532" t="str">
        <f t="shared" si="35"/>
        <v>26-35 years</v>
      </c>
    </row>
    <row r="533" spans="1:41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32"/>
        <v>1</v>
      </c>
      <c r="AM533" t="str">
        <f t="shared" si="33"/>
        <v>6-10 Years</v>
      </c>
      <c r="AN533" t="str">
        <f t="shared" si="34"/>
        <v>6-10 Years</v>
      </c>
      <c r="AO533" t="str">
        <f t="shared" si="35"/>
        <v>26-35 years</v>
      </c>
    </row>
    <row r="534" spans="1:41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32"/>
        <v>1</v>
      </c>
      <c r="AM534" t="str">
        <f t="shared" si="33"/>
        <v>6-10 Years</v>
      </c>
      <c r="AN534" t="str">
        <f t="shared" si="34"/>
        <v>0-2 Years</v>
      </c>
      <c r="AO534" t="str">
        <f t="shared" si="35"/>
        <v>46-55 Years</v>
      </c>
    </row>
    <row r="535" spans="1:41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32"/>
        <v>1</v>
      </c>
      <c r="AM535" t="str">
        <f t="shared" si="33"/>
        <v>16-20 Years</v>
      </c>
      <c r="AN535" t="str">
        <f t="shared" si="34"/>
        <v>0-2 Years</v>
      </c>
      <c r="AO535" t="str">
        <f t="shared" si="35"/>
        <v>36-45 years</v>
      </c>
    </row>
    <row r="536" spans="1:41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32"/>
        <v>1</v>
      </c>
      <c r="AM536" t="str">
        <f t="shared" si="33"/>
        <v>3-5 Years</v>
      </c>
      <c r="AN536" t="str">
        <f t="shared" si="34"/>
        <v>0-2 Years</v>
      </c>
      <c r="AO536" t="str">
        <f t="shared" si="35"/>
        <v>46-55 Years</v>
      </c>
    </row>
    <row r="537" spans="1:41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32"/>
        <v>1</v>
      </c>
      <c r="AM537" t="str">
        <f t="shared" si="33"/>
        <v>21+ Years</v>
      </c>
      <c r="AN537" t="str">
        <f t="shared" si="34"/>
        <v>11-15 Years</v>
      </c>
      <c r="AO537" t="str">
        <f t="shared" si="35"/>
        <v>36-45 years</v>
      </c>
    </row>
    <row r="538" spans="1:41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32"/>
        <v>1</v>
      </c>
      <c r="AM538" t="str">
        <f t="shared" si="33"/>
        <v>0-2 Years</v>
      </c>
      <c r="AN538" t="str">
        <f t="shared" si="34"/>
        <v>0-2 Years</v>
      </c>
      <c r="AO538" t="str">
        <f t="shared" si="35"/>
        <v>56+ years</v>
      </c>
    </row>
    <row r="539" spans="1:41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32"/>
        <v>1</v>
      </c>
      <c r="AM539" t="str">
        <f t="shared" si="33"/>
        <v>6-10 Years</v>
      </c>
      <c r="AN539" t="str">
        <f t="shared" si="34"/>
        <v>0-2 Years</v>
      </c>
      <c r="AO539" t="str">
        <f t="shared" si="35"/>
        <v>26-35 years</v>
      </c>
    </row>
    <row r="540" spans="1:41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32"/>
        <v>1</v>
      </c>
      <c r="AM540" t="str">
        <f t="shared" si="33"/>
        <v>21+ Years</v>
      </c>
      <c r="AN540" t="str">
        <f t="shared" si="34"/>
        <v>0-2 Years</v>
      </c>
      <c r="AO540" t="str">
        <f t="shared" si="35"/>
        <v>36-45 years</v>
      </c>
    </row>
    <row r="541" spans="1:41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32"/>
        <v>1</v>
      </c>
      <c r="AM541" t="str">
        <f t="shared" si="33"/>
        <v>0-2 Years</v>
      </c>
      <c r="AN541" t="str">
        <f t="shared" si="34"/>
        <v>0-2 Years</v>
      </c>
      <c r="AO541" t="str">
        <f t="shared" si="35"/>
        <v>46-55 Years</v>
      </c>
    </row>
    <row r="542" spans="1:41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32"/>
        <v>1</v>
      </c>
      <c r="AM542" t="str">
        <f t="shared" si="33"/>
        <v>6-10 Years</v>
      </c>
      <c r="AN542" t="str">
        <f t="shared" si="34"/>
        <v>3-5 Years</v>
      </c>
      <c r="AO542" t="str">
        <f t="shared" si="35"/>
        <v>26-35 years</v>
      </c>
    </row>
    <row r="543" spans="1:41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32"/>
        <v>1</v>
      </c>
      <c r="AM543" t="str">
        <f t="shared" si="33"/>
        <v>6-10 Years</v>
      </c>
      <c r="AN543" t="str">
        <f t="shared" si="34"/>
        <v>0-2 Years</v>
      </c>
      <c r="AO543" t="str">
        <f t="shared" si="35"/>
        <v>36-45 years</v>
      </c>
    </row>
    <row r="544" spans="1:41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32"/>
        <v>1</v>
      </c>
      <c r="AM544" t="str">
        <f t="shared" si="33"/>
        <v>0-2 Years</v>
      </c>
      <c r="AN544" t="str">
        <f t="shared" si="34"/>
        <v>0-2 Years</v>
      </c>
      <c r="AO544" t="str">
        <f t="shared" si="35"/>
        <v>36-45 years</v>
      </c>
    </row>
    <row r="545" spans="1:41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32"/>
        <v>1</v>
      </c>
      <c r="AM545" t="str">
        <f t="shared" si="33"/>
        <v>3-5 Years</v>
      </c>
      <c r="AN545" t="str">
        <f t="shared" si="34"/>
        <v>0-2 Years</v>
      </c>
      <c r="AO545" t="str">
        <f t="shared" si="35"/>
        <v>36-45 years</v>
      </c>
    </row>
    <row r="546" spans="1:41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32"/>
        <v>1</v>
      </c>
      <c r="AM546" t="str">
        <f t="shared" si="33"/>
        <v>21+ Years</v>
      </c>
      <c r="AN546" t="str">
        <f t="shared" si="34"/>
        <v>11-15 Years</v>
      </c>
      <c r="AO546" t="str">
        <f t="shared" si="35"/>
        <v>46-55 Years</v>
      </c>
    </row>
    <row r="547" spans="1:41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32"/>
        <v>1</v>
      </c>
      <c r="AM547" t="str">
        <f t="shared" si="33"/>
        <v>6-10 Years</v>
      </c>
      <c r="AN547" t="str">
        <f t="shared" si="34"/>
        <v>6-10 Years</v>
      </c>
      <c r="AO547" t="str">
        <f t="shared" si="35"/>
        <v>26-35 years</v>
      </c>
    </row>
    <row r="548" spans="1:41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32"/>
        <v>1</v>
      </c>
      <c r="AM548" t="str">
        <f t="shared" si="33"/>
        <v>0-2 Years</v>
      </c>
      <c r="AN548" t="str">
        <f t="shared" si="34"/>
        <v>0-2 Years</v>
      </c>
      <c r="AO548" t="str">
        <f t="shared" si="35"/>
        <v>26-35 years</v>
      </c>
    </row>
    <row r="549" spans="1:41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32"/>
        <v>1</v>
      </c>
      <c r="AM549" t="str">
        <f t="shared" si="33"/>
        <v>0-2 Years</v>
      </c>
      <c r="AN549" t="str">
        <f t="shared" si="34"/>
        <v>0-2 Years</v>
      </c>
      <c r="AO549" t="str">
        <f t="shared" si="35"/>
        <v>36-45 years</v>
      </c>
    </row>
    <row r="550" spans="1:41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32"/>
        <v>1</v>
      </c>
      <c r="AM550" t="str">
        <f t="shared" si="33"/>
        <v>0-2 Years</v>
      </c>
      <c r="AN550" t="str">
        <f t="shared" si="34"/>
        <v>0-2 Years</v>
      </c>
      <c r="AO550" t="str">
        <f t="shared" si="35"/>
        <v>36-45 years</v>
      </c>
    </row>
    <row r="551" spans="1:41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32"/>
        <v>1</v>
      </c>
      <c r="AM551" t="str">
        <f t="shared" si="33"/>
        <v>3-5 Years</v>
      </c>
      <c r="AN551" t="str">
        <f t="shared" si="34"/>
        <v>3-5 Years</v>
      </c>
      <c r="AO551" t="str">
        <f t="shared" si="35"/>
        <v>26-35 years</v>
      </c>
    </row>
    <row r="552" spans="1:41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32"/>
        <v>1</v>
      </c>
      <c r="AM552" t="str">
        <f t="shared" si="33"/>
        <v>3-5 Years</v>
      </c>
      <c r="AN552" t="str">
        <f t="shared" si="34"/>
        <v>0-2 Years</v>
      </c>
      <c r="AO552" t="str">
        <f t="shared" si="35"/>
        <v>18-25 years</v>
      </c>
    </row>
    <row r="553" spans="1:41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32"/>
        <v>1</v>
      </c>
      <c r="AM553" t="str">
        <f t="shared" si="33"/>
        <v>6-10 Years</v>
      </c>
      <c r="AN553" t="str">
        <f t="shared" si="34"/>
        <v>3-5 Years</v>
      </c>
      <c r="AO553" t="str">
        <f t="shared" si="35"/>
        <v>36-45 years</v>
      </c>
    </row>
    <row r="554" spans="1:41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32"/>
        <v>1</v>
      </c>
      <c r="AM554" t="str">
        <f t="shared" si="33"/>
        <v>6-10 Years</v>
      </c>
      <c r="AN554" t="str">
        <f t="shared" si="34"/>
        <v>0-2 Years</v>
      </c>
      <c r="AO554" t="str">
        <f t="shared" si="35"/>
        <v>56+ years</v>
      </c>
    </row>
    <row r="555" spans="1:41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32"/>
        <v>1</v>
      </c>
      <c r="AM555" t="str">
        <f t="shared" si="33"/>
        <v>3-5 Years</v>
      </c>
      <c r="AN555" t="str">
        <f t="shared" si="34"/>
        <v>0-2 Years</v>
      </c>
      <c r="AO555" t="str">
        <f t="shared" si="35"/>
        <v>36-45 years</v>
      </c>
    </row>
    <row r="556" spans="1:41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32"/>
        <v>1</v>
      </c>
      <c r="AM556" t="str">
        <f t="shared" si="33"/>
        <v>6-10 Years</v>
      </c>
      <c r="AN556" t="str">
        <f t="shared" si="34"/>
        <v>0-2 Years</v>
      </c>
      <c r="AO556" t="str">
        <f t="shared" si="35"/>
        <v>26-35 years</v>
      </c>
    </row>
    <row r="557" spans="1:41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32"/>
        <v>1</v>
      </c>
      <c r="AM557" t="str">
        <f t="shared" si="33"/>
        <v>0-2 Years</v>
      </c>
      <c r="AN557" t="str">
        <f t="shared" si="34"/>
        <v>0-2 Years</v>
      </c>
      <c r="AO557" t="str">
        <f t="shared" si="35"/>
        <v>26-35 years</v>
      </c>
    </row>
    <row r="558" spans="1:41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32"/>
        <v>1</v>
      </c>
      <c r="AM558" t="str">
        <f t="shared" si="33"/>
        <v>0-2 Years</v>
      </c>
      <c r="AN558" t="str">
        <f t="shared" si="34"/>
        <v>0-2 Years</v>
      </c>
      <c r="AO558" t="str">
        <f t="shared" si="35"/>
        <v>46-55 Years</v>
      </c>
    </row>
    <row r="559" spans="1:41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32"/>
        <v>1</v>
      </c>
      <c r="AM559" t="str">
        <f t="shared" si="33"/>
        <v>0-2 Years</v>
      </c>
      <c r="AN559" t="str">
        <f t="shared" si="34"/>
        <v>0-2 Years</v>
      </c>
      <c r="AO559" t="str">
        <f t="shared" si="35"/>
        <v>26-35 years</v>
      </c>
    </row>
    <row r="560" spans="1:41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32"/>
        <v>1</v>
      </c>
      <c r="AM560" t="str">
        <f t="shared" si="33"/>
        <v>6-10 Years</v>
      </c>
      <c r="AN560" t="str">
        <f t="shared" si="34"/>
        <v>3-5 Years</v>
      </c>
      <c r="AO560" t="str">
        <f t="shared" si="35"/>
        <v>26-35 years</v>
      </c>
    </row>
    <row r="561" spans="1:41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32"/>
        <v>1</v>
      </c>
      <c r="AM561" t="str">
        <f t="shared" si="33"/>
        <v>0-2 Years</v>
      </c>
      <c r="AN561" t="str">
        <f t="shared" si="34"/>
        <v>0-2 Years</v>
      </c>
      <c r="AO561" t="str">
        <f t="shared" si="35"/>
        <v>36-45 years</v>
      </c>
    </row>
    <row r="562" spans="1:41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32"/>
        <v>1</v>
      </c>
      <c r="AM562" t="str">
        <f t="shared" si="33"/>
        <v>0-2 Years</v>
      </c>
      <c r="AN562" t="str">
        <f t="shared" si="34"/>
        <v>0-2 Years</v>
      </c>
      <c r="AO562" t="str">
        <f t="shared" si="35"/>
        <v>26-35 years</v>
      </c>
    </row>
    <row r="563" spans="1:41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32"/>
        <v>1</v>
      </c>
      <c r="AM563" t="str">
        <f t="shared" si="33"/>
        <v>21+ Years</v>
      </c>
      <c r="AN563" t="str">
        <f t="shared" si="34"/>
        <v>0-2 Years</v>
      </c>
      <c r="AO563" t="str">
        <f t="shared" si="35"/>
        <v>46-55 Years</v>
      </c>
    </row>
    <row r="564" spans="1:41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32"/>
        <v>1</v>
      </c>
      <c r="AM564" t="str">
        <f t="shared" si="33"/>
        <v>6-10 Years</v>
      </c>
      <c r="AN564" t="str">
        <f t="shared" si="34"/>
        <v>6-10 Years</v>
      </c>
      <c r="AO564" t="str">
        <f t="shared" si="35"/>
        <v>26-35 years</v>
      </c>
    </row>
    <row r="565" spans="1:41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32"/>
        <v>1</v>
      </c>
      <c r="AM565" t="str">
        <f t="shared" si="33"/>
        <v>6-10 Years</v>
      </c>
      <c r="AN565" t="str">
        <f t="shared" si="34"/>
        <v>0-2 Years</v>
      </c>
      <c r="AO565" t="str">
        <f t="shared" si="35"/>
        <v>18-25 years</v>
      </c>
    </row>
    <row r="566" spans="1:41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32"/>
        <v>1</v>
      </c>
      <c r="AM566" t="str">
        <f t="shared" si="33"/>
        <v>6-10 Years</v>
      </c>
      <c r="AN566" t="str">
        <f t="shared" si="34"/>
        <v>3-5 Years</v>
      </c>
      <c r="AO566" t="str">
        <f t="shared" si="35"/>
        <v>36-45 years</v>
      </c>
    </row>
    <row r="567" spans="1:41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32"/>
        <v>1</v>
      </c>
      <c r="AM567" t="str">
        <f t="shared" si="33"/>
        <v>0-2 Years</v>
      </c>
      <c r="AN567" t="str">
        <f t="shared" si="34"/>
        <v>0-2 Years</v>
      </c>
      <c r="AO567" t="str">
        <f t="shared" si="35"/>
        <v>18-25 years</v>
      </c>
    </row>
    <row r="568" spans="1:41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32"/>
        <v>1</v>
      </c>
      <c r="AM568" t="str">
        <f t="shared" si="33"/>
        <v>3-5 Years</v>
      </c>
      <c r="AN568" t="str">
        <f t="shared" si="34"/>
        <v>0-2 Years</v>
      </c>
      <c r="AO568" t="str">
        <f t="shared" si="35"/>
        <v>46-55 Years</v>
      </c>
    </row>
    <row r="569" spans="1:41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32"/>
        <v>1</v>
      </c>
      <c r="AM569" t="str">
        <f t="shared" si="33"/>
        <v>6-10 Years</v>
      </c>
      <c r="AN569" t="str">
        <f t="shared" si="34"/>
        <v>0-2 Years</v>
      </c>
      <c r="AO569" t="str">
        <f t="shared" si="35"/>
        <v>26-35 years</v>
      </c>
    </row>
    <row r="570" spans="1:41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32"/>
        <v>1</v>
      </c>
      <c r="AM570" t="str">
        <f t="shared" si="33"/>
        <v>3-5 Years</v>
      </c>
      <c r="AN570" t="str">
        <f t="shared" si="34"/>
        <v>0-2 Years</v>
      </c>
      <c r="AO570" t="str">
        <f t="shared" si="35"/>
        <v>46-55 Years</v>
      </c>
    </row>
    <row r="571" spans="1:41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32"/>
        <v>1</v>
      </c>
      <c r="AM571" t="str">
        <f t="shared" si="33"/>
        <v>6-10 Years</v>
      </c>
      <c r="AN571" t="str">
        <f t="shared" si="34"/>
        <v>0-2 Years</v>
      </c>
      <c r="AO571" t="str">
        <f t="shared" si="35"/>
        <v>36-45 years</v>
      </c>
    </row>
    <row r="572" spans="1:41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32"/>
        <v>1</v>
      </c>
      <c r="AM572" t="str">
        <f t="shared" si="33"/>
        <v>3-5 Years</v>
      </c>
      <c r="AN572" t="str">
        <f t="shared" si="34"/>
        <v>0-2 Years</v>
      </c>
      <c r="AO572" t="str">
        <f t="shared" si="35"/>
        <v>46-55 Years</v>
      </c>
    </row>
    <row r="573" spans="1:41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32"/>
        <v>1</v>
      </c>
      <c r="AM573" t="str">
        <f t="shared" si="33"/>
        <v>0-2 Years</v>
      </c>
      <c r="AN573" t="str">
        <f t="shared" si="34"/>
        <v>0-2 Years</v>
      </c>
      <c r="AO573" t="str">
        <f t="shared" si="35"/>
        <v>26-35 years</v>
      </c>
    </row>
    <row r="574" spans="1:41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32"/>
        <v>1</v>
      </c>
      <c r="AM574" t="str">
        <f t="shared" si="33"/>
        <v>6-10 Years</v>
      </c>
      <c r="AN574" t="str">
        <f t="shared" si="34"/>
        <v>0-2 Years</v>
      </c>
      <c r="AO574" t="str">
        <f t="shared" si="35"/>
        <v>26-35 years</v>
      </c>
    </row>
    <row r="575" spans="1:41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32"/>
        <v>1</v>
      </c>
      <c r="AM575" t="str">
        <f t="shared" si="33"/>
        <v>3-5 Years</v>
      </c>
      <c r="AN575" t="str">
        <f t="shared" si="34"/>
        <v>0-2 Years</v>
      </c>
      <c r="AO575" t="str">
        <f t="shared" si="35"/>
        <v>26-35 years</v>
      </c>
    </row>
    <row r="576" spans="1:41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32"/>
        <v>1</v>
      </c>
      <c r="AM576" t="str">
        <f t="shared" si="33"/>
        <v>3-5 Years</v>
      </c>
      <c r="AN576" t="str">
        <f t="shared" si="34"/>
        <v>0-2 Years</v>
      </c>
      <c r="AO576" t="str">
        <f t="shared" si="35"/>
        <v>26-35 years</v>
      </c>
    </row>
    <row r="577" spans="1:41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32"/>
        <v>1</v>
      </c>
      <c r="AM577" t="str">
        <f t="shared" si="33"/>
        <v>3-5 Years</v>
      </c>
      <c r="AN577" t="str">
        <f t="shared" si="34"/>
        <v>0-2 Years</v>
      </c>
      <c r="AO577" t="str">
        <f t="shared" si="35"/>
        <v>46-55 Years</v>
      </c>
    </row>
    <row r="578" spans="1:41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si="32"/>
        <v>1</v>
      </c>
      <c r="AM578" t="str">
        <f t="shared" si="33"/>
        <v>3-5 Years</v>
      </c>
      <c r="AN578" t="str">
        <f t="shared" si="34"/>
        <v>0-2 Years</v>
      </c>
      <c r="AO578" t="str">
        <f t="shared" si="35"/>
        <v>26-35 years</v>
      </c>
    </row>
    <row r="579" spans="1:41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ref="AJ579:AJ642" si="36">COUNTIFS($A$2:$A$1471,A579,$B$2:$B$1471,B579,$C$2:$C$1471,C579,$D$2:$D$1471,D579,$E$2:$E$1471,E579,$F$2:$F$1471,F579,$G$2:$G$1471,G579,$H$2:$H$1471,H579,$I$2:$I$1471,I579,$J$2:$J$1471,J579,$K$2:$K$1471,K579,$L$2:$L$1471,L579,$M$2:$M$1471,M579,$N$2:$N$1471,N579,$O$2:$O$1471,O579,$P$2:$P$1471,P579,$Q$2:$Q$1471,Q579,$R$2:$R$1471,R579,$S$2:$S$1471,S579,$T$2:$T$1471,T579,$U$2:$U$1471,U579,$V$2:$V$1471,V579,$W$2:$W$1471,W579,$X$2:$X$1471,X579,$Y$2:$Y$1471,Y579,$Z$2:$Z$1471,Z579,$AA$2:$AA$1471,AA579,$AB$2:$AB$1471,AB579,$AC$2:$AC$1471,AC579,$AD$2:$AD$1471,AD579,$AE$2:$AE$1471,AE579,$AF$2:$AF$1471,AF579,$AG$2:$AG$1471,AG579,$AH$2:$AH$1471,AH579,$AI$2:$AI$1471,AI579)</f>
        <v>1</v>
      </c>
      <c r="AM579" t="str">
        <f t="shared" ref="AM579:AM642" si="37">IF(AF579&lt;=2,"0-2 Years",IF(AF579&lt;=5,"3-5 Years",IF(AF579&lt;=10,"6-10 Years",IF(AF579&lt;=15,"11-15 Years",IF(AF579&lt;=20,"16-20 Years","21+ Years")))))</f>
        <v>3-5 Years</v>
      </c>
      <c r="AN579" t="str">
        <f t="shared" ref="AN579:AN642" si="38">IF(AH579&lt;=2,"0-2 Years",IF(AH579&lt;=5,"3-5 Years",IF(AH579&lt;=10,"6-10 Years","11-15 Years")))</f>
        <v>3-5 Years</v>
      </c>
      <c r="AO579" t="str">
        <f t="shared" ref="AO579:AO642" si="39">IF(A579&lt;=25,"18-25 years",IF(A579&lt;=35,"26-35 years",IF(A579&lt;=45,"36-45 years",IF(A579&lt;=55,"46-55 Years","56+ years"))))</f>
        <v>36-45 years</v>
      </c>
    </row>
    <row r="580" spans="1:41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36"/>
        <v>1</v>
      </c>
      <c r="AM580" t="str">
        <f t="shared" si="37"/>
        <v>11-15 Years</v>
      </c>
      <c r="AN580" t="str">
        <f t="shared" si="38"/>
        <v>3-5 Years</v>
      </c>
      <c r="AO580" t="str">
        <f t="shared" si="39"/>
        <v>36-45 years</v>
      </c>
    </row>
    <row r="581" spans="1:41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36"/>
        <v>1</v>
      </c>
      <c r="AM581" t="str">
        <f t="shared" si="37"/>
        <v>6-10 Years</v>
      </c>
      <c r="AN581" t="str">
        <f t="shared" si="38"/>
        <v>0-2 Years</v>
      </c>
      <c r="AO581" t="str">
        <f t="shared" si="39"/>
        <v>26-35 years</v>
      </c>
    </row>
    <row r="582" spans="1:41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36"/>
        <v>1</v>
      </c>
      <c r="AM582" t="str">
        <f t="shared" si="37"/>
        <v>3-5 Years</v>
      </c>
      <c r="AN582" t="str">
        <f t="shared" si="38"/>
        <v>0-2 Years</v>
      </c>
      <c r="AO582" t="str">
        <f t="shared" si="39"/>
        <v>26-35 years</v>
      </c>
    </row>
    <row r="583" spans="1:41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36"/>
        <v>1</v>
      </c>
      <c r="AM583" t="str">
        <f t="shared" si="37"/>
        <v>0-2 Years</v>
      </c>
      <c r="AN583" t="str">
        <f t="shared" si="38"/>
        <v>0-2 Years</v>
      </c>
      <c r="AO583" t="str">
        <f t="shared" si="39"/>
        <v>26-35 years</v>
      </c>
    </row>
    <row r="584" spans="1:41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36"/>
        <v>1</v>
      </c>
      <c r="AM584" t="str">
        <f t="shared" si="37"/>
        <v>6-10 Years</v>
      </c>
      <c r="AN584" t="str">
        <f t="shared" si="38"/>
        <v>3-5 Years</v>
      </c>
      <c r="AO584" t="str">
        <f t="shared" si="39"/>
        <v>36-45 years</v>
      </c>
    </row>
    <row r="585" spans="1:41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36"/>
        <v>1</v>
      </c>
      <c r="AM585" t="str">
        <f t="shared" si="37"/>
        <v>3-5 Years</v>
      </c>
      <c r="AN585" t="str">
        <f t="shared" si="38"/>
        <v>0-2 Years</v>
      </c>
      <c r="AO585" t="str">
        <f t="shared" si="39"/>
        <v>26-35 years</v>
      </c>
    </row>
    <row r="586" spans="1:41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36"/>
        <v>1</v>
      </c>
      <c r="AM586" t="str">
        <f t="shared" si="37"/>
        <v>21+ Years</v>
      </c>
      <c r="AN586" t="str">
        <f t="shared" si="38"/>
        <v>11-15 Years</v>
      </c>
      <c r="AO586" t="str">
        <f t="shared" si="39"/>
        <v>36-45 years</v>
      </c>
    </row>
    <row r="587" spans="1:41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36"/>
        <v>1</v>
      </c>
      <c r="AM587" t="str">
        <f t="shared" si="37"/>
        <v>0-2 Years</v>
      </c>
      <c r="AN587" t="str">
        <f t="shared" si="38"/>
        <v>0-2 Years</v>
      </c>
      <c r="AO587" t="str">
        <f t="shared" si="39"/>
        <v>18-25 years</v>
      </c>
    </row>
    <row r="588" spans="1:41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36"/>
        <v>1</v>
      </c>
      <c r="AM588" t="str">
        <f t="shared" si="37"/>
        <v>0-2 Years</v>
      </c>
      <c r="AN588" t="str">
        <f t="shared" si="38"/>
        <v>0-2 Years</v>
      </c>
      <c r="AO588" t="str">
        <f t="shared" si="39"/>
        <v>18-25 years</v>
      </c>
    </row>
    <row r="589" spans="1:41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36"/>
        <v>1</v>
      </c>
      <c r="AM589" t="str">
        <f t="shared" si="37"/>
        <v>3-5 Years</v>
      </c>
      <c r="AN589" t="str">
        <f t="shared" si="38"/>
        <v>0-2 Years</v>
      </c>
      <c r="AO589" t="str">
        <f t="shared" si="39"/>
        <v>46-55 Years</v>
      </c>
    </row>
    <row r="590" spans="1:41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36"/>
        <v>1</v>
      </c>
      <c r="AM590" t="str">
        <f t="shared" si="37"/>
        <v>3-5 Years</v>
      </c>
      <c r="AN590" t="str">
        <f t="shared" si="38"/>
        <v>0-2 Years</v>
      </c>
      <c r="AO590" t="str">
        <f t="shared" si="39"/>
        <v>46-55 Years</v>
      </c>
    </row>
    <row r="591" spans="1:41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36"/>
        <v>1</v>
      </c>
      <c r="AM591" t="str">
        <f t="shared" si="37"/>
        <v>0-2 Years</v>
      </c>
      <c r="AN591" t="str">
        <f t="shared" si="38"/>
        <v>0-2 Years</v>
      </c>
      <c r="AO591" t="str">
        <f t="shared" si="39"/>
        <v>26-35 years</v>
      </c>
    </row>
    <row r="592" spans="1:41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36"/>
        <v>1</v>
      </c>
      <c r="AM592" t="str">
        <f t="shared" si="37"/>
        <v>11-15 Years</v>
      </c>
      <c r="AN592" t="str">
        <f t="shared" si="38"/>
        <v>3-5 Years</v>
      </c>
      <c r="AO592" t="str">
        <f t="shared" si="39"/>
        <v>26-35 years</v>
      </c>
    </row>
    <row r="593" spans="1:41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36"/>
        <v>1</v>
      </c>
      <c r="AM593" t="str">
        <f t="shared" si="37"/>
        <v>3-5 Years</v>
      </c>
      <c r="AN593" t="str">
        <f t="shared" si="38"/>
        <v>0-2 Years</v>
      </c>
      <c r="AO593" t="str">
        <f t="shared" si="39"/>
        <v>26-35 years</v>
      </c>
    </row>
    <row r="594" spans="1:41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36"/>
        <v>1</v>
      </c>
      <c r="AM594" t="str">
        <f t="shared" si="37"/>
        <v>21+ Years</v>
      </c>
      <c r="AN594" t="str">
        <f t="shared" si="38"/>
        <v>3-5 Years</v>
      </c>
      <c r="AO594" t="str">
        <f t="shared" si="39"/>
        <v>46-55 Years</v>
      </c>
    </row>
    <row r="595" spans="1:41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36"/>
        <v>1</v>
      </c>
      <c r="AM595" t="str">
        <f t="shared" si="37"/>
        <v>6-10 Years</v>
      </c>
      <c r="AN595" t="str">
        <f t="shared" si="38"/>
        <v>0-2 Years</v>
      </c>
      <c r="AO595" t="str">
        <f t="shared" si="39"/>
        <v>36-45 years</v>
      </c>
    </row>
    <row r="596" spans="1:41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36"/>
        <v>1</v>
      </c>
      <c r="AM596" t="str">
        <f t="shared" si="37"/>
        <v>6-10 Years</v>
      </c>
      <c r="AN596" t="str">
        <f t="shared" si="38"/>
        <v>0-2 Years</v>
      </c>
      <c r="AO596" t="str">
        <f t="shared" si="39"/>
        <v>26-35 years</v>
      </c>
    </row>
    <row r="597" spans="1:41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36"/>
        <v>1</v>
      </c>
      <c r="AM597" t="str">
        <f t="shared" si="37"/>
        <v>21+ Years</v>
      </c>
      <c r="AN597" t="str">
        <f t="shared" si="38"/>
        <v>11-15 Years</v>
      </c>
      <c r="AO597" t="str">
        <f t="shared" si="39"/>
        <v>56+ years</v>
      </c>
    </row>
    <row r="598" spans="1:41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36"/>
        <v>1</v>
      </c>
      <c r="AM598" t="str">
        <f t="shared" si="37"/>
        <v>0-2 Years</v>
      </c>
      <c r="AN598" t="str">
        <f t="shared" si="38"/>
        <v>0-2 Years</v>
      </c>
      <c r="AO598" t="str">
        <f t="shared" si="39"/>
        <v>26-35 years</v>
      </c>
    </row>
    <row r="599" spans="1:41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36"/>
        <v>1</v>
      </c>
      <c r="AM599" t="str">
        <f t="shared" si="37"/>
        <v>3-5 Years</v>
      </c>
      <c r="AN599" t="str">
        <f t="shared" si="38"/>
        <v>0-2 Years</v>
      </c>
      <c r="AO599" t="str">
        <f t="shared" si="39"/>
        <v>36-45 years</v>
      </c>
    </row>
    <row r="600" spans="1:41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36"/>
        <v>1</v>
      </c>
      <c r="AM600" t="str">
        <f t="shared" si="37"/>
        <v>0-2 Years</v>
      </c>
      <c r="AN600" t="str">
        <f t="shared" si="38"/>
        <v>0-2 Years</v>
      </c>
      <c r="AO600" t="str">
        <f t="shared" si="39"/>
        <v>26-35 years</v>
      </c>
    </row>
    <row r="601" spans="1:41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36"/>
        <v>1</v>
      </c>
      <c r="AM601" t="str">
        <f t="shared" si="37"/>
        <v>3-5 Years</v>
      </c>
      <c r="AN601" t="str">
        <f t="shared" si="38"/>
        <v>0-2 Years</v>
      </c>
      <c r="AO601" t="str">
        <f t="shared" si="39"/>
        <v>36-45 years</v>
      </c>
    </row>
    <row r="602" spans="1:41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36"/>
        <v>1</v>
      </c>
      <c r="AM602" t="str">
        <f t="shared" si="37"/>
        <v>11-15 Years</v>
      </c>
      <c r="AN602" t="str">
        <f t="shared" si="38"/>
        <v>6-10 Years</v>
      </c>
      <c r="AO602" t="str">
        <f t="shared" si="39"/>
        <v>26-35 years</v>
      </c>
    </row>
    <row r="603" spans="1:41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36"/>
        <v>1</v>
      </c>
      <c r="AM603" t="str">
        <f t="shared" si="37"/>
        <v>0-2 Years</v>
      </c>
      <c r="AN603" t="str">
        <f t="shared" si="38"/>
        <v>0-2 Years</v>
      </c>
      <c r="AO603" t="str">
        <f t="shared" si="39"/>
        <v>36-45 years</v>
      </c>
    </row>
    <row r="604" spans="1:41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36"/>
        <v>1</v>
      </c>
      <c r="AM604" t="str">
        <f t="shared" si="37"/>
        <v>0-2 Years</v>
      </c>
      <c r="AN604" t="str">
        <f t="shared" si="38"/>
        <v>0-2 Years</v>
      </c>
      <c r="AO604" t="str">
        <f t="shared" si="39"/>
        <v>26-35 years</v>
      </c>
    </row>
    <row r="605" spans="1:41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36"/>
        <v>1</v>
      </c>
      <c r="AM605" t="str">
        <f t="shared" si="37"/>
        <v>0-2 Years</v>
      </c>
      <c r="AN605" t="str">
        <f t="shared" si="38"/>
        <v>0-2 Years</v>
      </c>
      <c r="AO605" t="str">
        <f t="shared" si="39"/>
        <v>36-45 years</v>
      </c>
    </row>
    <row r="606" spans="1:41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36"/>
        <v>1</v>
      </c>
      <c r="AM606" t="str">
        <f t="shared" si="37"/>
        <v>6-10 Years</v>
      </c>
      <c r="AN606" t="str">
        <f t="shared" si="38"/>
        <v>6-10 Years</v>
      </c>
      <c r="AO606" t="str">
        <f t="shared" si="39"/>
        <v>36-45 years</v>
      </c>
    </row>
    <row r="607" spans="1:41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36"/>
        <v>1</v>
      </c>
      <c r="AM607" t="str">
        <f t="shared" si="37"/>
        <v>3-5 Years</v>
      </c>
      <c r="AN607" t="str">
        <f t="shared" si="38"/>
        <v>0-2 Years</v>
      </c>
      <c r="AO607" t="str">
        <f t="shared" si="39"/>
        <v>36-45 years</v>
      </c>
    </row>
    <row r="608" spans="1:41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36"/>
        <v>1</v>
      </c>
      <c r="AM608" t="str">
        <f t="shared" si="37"/>
        <v>3-5 Years</v>
      </c>
      <c r="AN608" t="str">
        <f t="shared" si="38"/>
        <v>0-2 Years</v>
      </c>
      <c r="AO608" t="str">
        <f t="shared" si="39"/>
        <v>26-35 years</v>
      </c>
    </row>
    <row r="609" spans="1:41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36"/>
        <v>1</v>
      </c>
      <c r="AM609" t="str">
        <f t="shared" si="37"/>
        <v>6-10 Years</v>
      </c>
      <c r="AN609" t="str">
        <f t="shared" si="38"/>
        <v>6-10 Years</v>
      </c>
      <c r="AO609" t="str">
        <f t="shared" si="39"/>
        <v>46-55 Years</v>
      </c>
    </row>
    <row r="610" spans="1:41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36"/>
        <v>1</v>
      </c>
      <c r="AM610" t="str">
        <f t="shared" si="37"/>
        <v>6-10 Years</v>
      </c>
      <c r="AN610" t="str">
        <f t="shared" si="38"/>
        <v>6-10 Years</v>
      </c>
      <c r="AO610" t="str">
        <f t="shared" si="39"/>
        <v>46-55 Years</v>
      </c>
    </row>
    <row r="611" spans="1:41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36"/>
        <v>1</v>
      </c>
      <c r="AM611" t="str">
        <f t="shared" si="37"/>
        <v>3-5 Years</v>
      </c>
      <c r="AN611" t="str">
        <f t="shared" si="38"/>
        <v>0-2 Years</v>
      </c>
      <c r="AO611" t="str">
        <f t="shared" si="39"/>
        <v>36-45 years</v>
      </c>
    </row>
    <row r="612" spans="1:41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36"/>
        <v>1</v>
      </c>
      <c r="AM612" t="str">
        <f t="shared" si="37"/>
        <v>6-10 Years</v>
      </c>
      <c r="AN612" t="str">
        <f t="shared" si="38"/>
        <v>0-2 Years</v>
      </c>
      <c r="AO612" t="str">
        <f t="shared" si="39"/>
        <v>26-35 years</v>
      </c>
    </row>
    <row r="613" spans="1:41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36"/>
        <v>1</v>
      </c>
      <c r="AM613" t="str">
        <f t="shared" si="37"/>
        <v>6-10 Years</v>
      </c>
      <c r="AN613" t="str">
        <f t="shared" si="38"/>
        <v>0-2 Years</v>
      </c>
      <c r="AO613" t="str">
        <f t="shared" si="39"/>
        <v>26-35 years</v>
      </c>
    </row>
    <row r="614" spans="1:41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36"/>
        <v>1</v>
      </c>
      <c r="AM614" t="str">
        <f t="shared" si="37"/>
        <v>6-10 Years</v>
      </c>
      <c r="AN614" t="str">
        <f t="shared" si="38"/>
        <v>6-10 Years</v>
      </c>
      <c r="AO614" t="str">
        <f t="shared" si="39"/>
        <v>26-35 years</v>
      </c>
    </row>
    <row r="615" spans="1:41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36"/>
        <v>1</v>
      </c>
      <c r="AM615" t="str">
        <f t="shared" si="37"/>
        <v>3-5 Years</v>
      </c>
      <c r="AN615" t="str">
        <f t="shared" si="38"/>
        <v>0-2 Years</v>
      </c>
      <c r="AO615" t="str">
        <f t="shared" si="39"/>
        <v>26-35 years</v>
      </c>
    </row>
    <row r="616" spans="1:41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36"/>
        <v>1</v>
      </c>
      <c r="AM616" t="str">
        <f t="shared" si="37"/>
        <v>6-10 Years</v>
      </c>
      <c r="AN616" t="str">
        <f t="shared" si="38"/>
        <v>0-2 Years</v>
      </c>
      <c r="AO616" t="str">
        <f t="shared" si="39"/>
        <v>26-35 years</v>
      </c>
    </row>
    <row r="617" spans="1:41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36"/>
        <v>1</v>
      </c>
      <c r="AM617" t="str">
        <f t="shared" si="37"/>
        <v>0-2 Years</v>
      </c>
      <c r="AN617" t="str">
        <f t="shared" si="38"/>
        <v>0-2 Years</v>
      </c>
      <c r="AO617" t="str">
        <f t="shared" si="39"/>
        <v>26-35 years</v>
      </c>
    </row>
    <row r="618" spans="1:41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36"/>
        <v>1</v>
      </c>
      <c r="AM618" t="str">
        <f t="shared" si="37"/>
        <v>16-20 Years</v>
      </c>
      <c r="AN618" t="str">
        <f t="shared" si="38"/>
        <v>3-5 Years</v>
      </c>
      <c r="AO618" t="str">
        <f t="shared" si="39"/>
        <v>46-55 Years</v>
      </c>
    </row>
    <row r="619" spans="1:41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36"/>
        <v>1</v>
      </c>
      <c r="AM619" t="str">
        <f t="shared" si="37"/>
        <v>3-5 Years</v>
      </c>
      <c r="AN619" t="str">
        <f t="shared" si="38"/>
        <v>0-2 Years</v>
      </c>
      <c r="AO619" t="str">
        <f t="shared" si="39"/>
        <v>36-45 years</v>
      </c>
    </row>
    <row r="620" spans="1:41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36"/>
        <v>1</v>
      </c>
      <c r="AM620" t="str">
        <f t="shared" si="37"/>
        <v>3-5 Years</v>
      </c>
      <c r="AN620" t="str">
        <f t="shared" si="38"/>
        <v>0-2 Years</v>
      </c>
      <c r="AO620" t="str">
        <f t="shared" si="39"/>
        <v>18-25 years</v>
      </c>
    </row>
    <row r="621" spans="1:41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36"/>
        <v>1</v>
      </c>
      <c r="AM621" t="str">
        <f t="shared" si="37"/>
        <v>6-10 Years</v>
      </c>
      <c r="AN621" t="str">
        <f t="shared" si="38"/>
        <v>0-2 Years</v>
      </c>
      <c r="AO621" t="str">
        <f t="shared" si="39"/>
        <v>26-35 years</v>
      </c>
    </row>
    <row r="622" spans="1:41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36"/>
        <v>1</v>
      </c>
      <c r="AM622" t="str">
        <f t="shared" si="37"/>
        <v>6-10 Years</v>
      </c>
      <c r="AN622" t="str">
        <f t="shared" si="38"/>
        <v>0-2 Years</v>
      </c>
      <c r="AO622" t="str">
        <f t="shared" si="39"/>
        <v>26-35 years</v>
      </c>
    </row>
    <row r="623" spans="1:41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36"/>
        <v>1</v>
      </c>
      <c r="AM623" t="str">
        <f t="shared" si="37"/>
        <v>16-20 Years</v>
      </c>
      <c r="AN623" t="str">
        <f t="shared" si="38"/>
        <v>3-5 Years</v>
      </c>
      <c r="AO623" t="str">
        <f t="shared" si="39"/>
        <v>36-45 years</v>
      </c>
    </row>
    <row r="624" spans="1:41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36"/>
        <v>1</v>
      </c>
      <c r="AM624" t="str">
        <f t="shared" si="37"/>
        <v>3-5 Years</v>
      </c>
      <c r="AN624" t="str">
        <f t="shared" si="38"/>
        <v>0-2 Years</v>
      </c>
      <c r="AO624" t="str">
        <f t="shared" si="39"/>
        <v>26-35 years</v>
      </c>
    </row>
    <row r="625" spans="1:41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36"/>
        <v>1</v>
      </c>
      <c r="AM625" t="str">
        <f t="shared" si="37"/>
        <v>3-5 Years</v>
      </c>
      <c r="AN625" t="str">
        <f t="shared" si="38"/>
        <v>0-2 Years</v>
      </c>
      <c r="AO625" t="str">
        <f t="shared" si="39"/>
        <v>26-35 years</v>
      </c>
    </row>
    <row r="626" spans="1:41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36"/>
        <v>1</v>
      </c>
      <c r="AM626" t="str">
        <f t="shared" si="37"/>
        <v>3-5 Years</v>
      </c>
      <c r="AN626" t="str">
        <f t="shared" si="38"/>
        <v>0-2 Years</v>
      </c>
      <c r="AO626" t="str">
        <f t="shared" si="39"/>
        <v>46-55 Years</v>
      </c>
    </row>
    <row r="627" spans="1:41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36"/>
        <v>1</v>
      </c>
      <c r="AM627" t="str">
        <f t="shared" si="37"/>
        <v>3-5 Years</v>
      </c>
      <c r="AN627" t="str">
        <f t="shared" si="38"/>
        <v>0-2 Years</v>
      </c>
      <c r="AO627" t="str">
        <f t="shared" si="39"/>
        <v>36-45 years</v>
      </c>
    </row>
    <row r="628" spans="1:41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36"/>
        <v>1</v>
      </c>
      <c r="AM628" t="str">
        <f t="shared" si="37"/>
        <v>3-5 Years</v>
      </c>
      <c r="AN628" t="str">
        <f t="shared" si="38"/>
        <v>0-2 Years</v>
      </c>
      <c r="AO628" t="str">
        <f t="shared" si="39"/>
        <v>26-35 years</v>
      </c>
    </row>
    <row r="629" spans="1:41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36"/>
        <v>1</v>
      </c>
      <c r="AM629" t="str">
        <f t="shared" si="37"/>
        <v>6-10 Years</v>
      </c>
      <c r="AN629" t="str">
        <f t="shared" si="38"/>
        <v>0-2 Years</v>
      </c>
      <c r="AO629" t="str">
        <f t="shared" si="39"/>
        <v>46-55 Years</v>
      </c>
    </row>
    <row r="630" spans="1:41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36"/>
        <v>1</v>
      </c>
      <c r="AM630" t="str">
        <f t="shared" si="37"/>
        <v>0-2 Years</v>
      </c>
      <c r="AN630" t="str">
        <f t="shared" si="38"/>
        <v>0-2 Years</v>
      </c>
      <c r="AO630" t="str">
        <f t="shared" si="39"/>
        <v>36-45 years</v>
      </c>
    </row>
    <row r="631" spans="1:41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36"/>
        <v>1</v>
      </c>
      <c r="AM631" t="str">
        <f t="shared" si="37"/>
        <v>3-5 Years</v>
      </c>
      <c r="AN631" t="str">
        <f t="shared" si="38"/>
        <v>0-2 Years</v>
      </c>
      <c r="AO631" t="str">
        <f t="shared" si="39"/>
        <v>26-35 years</v>
      </c>
    </row>
    <row r="632" spans="1:41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36"/>
        <v>1</v>
      </c>
      <c r="AM632" t="str">
        <f t="shared" si="37"/>
        <v>0-2 Years</v>
      </c>
      <c r="AN632" t="str">
        <f t="shared" si="38"/>
        <v>0-2 Years</v>
      </c>
      <c r="AO632" t="str">
        <f t="shared" si="39"/>
        <v>18-25 years</v>
      </c>
    </row>
    <row r="633" spans="1:41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36"/>
        <v>1</v>
      </c>
      <c r="AM633" t="str">
        <f t="shared" si="37"/>
        <v>3-5 Years</v>
      </c>
      <c r="AN633" t="str">
        <f t="shared" si="38"/>
        <v>0-2 Years</v>
      </c>
      <c r="AO633" t="str">
        <f t="shared" si="39"/>
        <v>36-45 years</v>
      </c>
    </row>
    <row r="634" spans="1:41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36"/>
        <v>1</v>
      </c>
      <c r="AM634" t="str">
        <f t="shared" si="37"/>
        <v>0-2 Years</v>
      </c>
      <c r="AN634" t="str">
        <f t="shared" si="38"/>
        <v>0-2 Years</v>
      </c>
      <c r="AO634" t="str">
        <f t="shared" si="39"/>
        <v>36-45 years</v>
      </c>
    </row>
    <row r="635" spans="1:41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36"/>
        <v>1</v>
      </c>
      <c r="AM635" t="str">
        <f t="shared" si="37"/>
        <v>3-5 Years</v>
      </c>
      <c r="AN635" t="str">
        <f t="shared" si="38"/>
        <v>0-2 Years</v>
      </c>
      <c r="AO635" t="str">
        <f t="shared" si="39"/>
        <v>36-45 years</v>
      </c>
    </row>
    <row r="636" spans="1:41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36"/>
        <v>1</v>
      </c>
      <c r="AM636" t="str">
        <f t="shared" si="37"/>
        <v>3-5 Years</v>
      </c>
      <c r="AN636" t="str">
        <f t="shared" si="38"/>
        <v>0-2 Years</v>
      </c>
      <c r="AO636" t="str">
        <f t="shared" si="39"/>
        <v>18-25 years</v>
      </c>
    </row>
    <row r="637" spans="1:41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36"/>
        <v>1</v>
      </c>
      <c r="AM637" t="str">
        <f t="shared" si="37"/>
        <v>16-20 Years</v>
      </c>
      <c r="AN637" t="str">
        <f t="shared" si="38"/>
        <v>3-5 Years</v>
      </c>
      <c r="AO637" t="str">
        <f t="shared" si="39"/>
        <v>26-35 years</v>
      </c>
    </row>
    <row r="638" spans="1:41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36"/>
        <v>1</v>
      </c>
      <c r="AM638" t="str">
        <f t="shared" si="37"/>
        <v>6-10 Years</v>
      </c>
      <c r="AN638" t="str">
        <f t="shared" si="38"/>
        <v>6-10 Years</v>
      </c>
      <c r="AO638" t="str">
        <f t="shared" si="39"/>
        <v>26-35 years</v>
      </c>
    </row>
    <row r="639" spans="1:41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36"/>
        <v>1</v>
      </c>
      <c r="AM639" t="str">
        <f t="shared" si="37"/>
        <v>3-5 Years</v>
      </c>
      <c r="AN639" t="str">
        <f t="shared" si="38"/>
        <v>0-2 Years</v>
      </c>
      <c r="AO639" t="str">
        <f t="shared" si="39"/>
        <v>26-35 years</v>
      </c>
    </row>
    <row r="640" spans="1:41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36"/>
        <v>1</v>
      </c>
      <c r="AM640" t="str">
        <f t="shared" si="37"/>
        <v>3-5 Years</v>
      </c>
      <c r="AN640" t="str">
        <f t="shared" si="38"/>
        <v>0-2 Years</v>
      </c>
      <c r="AO640" t="str">
        <f t="shared" si="39"/>
        <v>18-25 years</v>
      </c>
    </row>
    <row r="641" spans="1:41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36"/>
        <v>1</v>
      </c>
      <c r="AM641" t="str">
        <f t="shared" si="37"/>
        <v>3-5 Years</v>
      </c>
      <c r="AN641" t="str">
        <f t="shared" si="38"/>
        <v>0-2 Years</v>
      </c>
      <c r="AO641" t="str">
        <f t="shared" si="39"/>
        <v>46-55 Years</v>
      </c>
    </row>
    <row r="642" spans="1:41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si="36"/>
        <v>1</v>
      </c>
      <c r="AM642" t="str">
        <f t="shared" si="37"/>
        <v>3-5 Years</v>
      </c>
      <c r="AN642" t="str">
        <f t="shared" si="38"/>
        <v>3-5 Years</v>
      </c>
      <c r="AO642" t="str">
        <f t="shared" si="39"/>
        <v>18-25 years</v>
      </c>
    </row>
    <row r="643" spans="1:41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ref="AJ643:AJ706" si="40">COUNTIFS($A$2:$A$1471,A643,$B$2:$B$1471,B643,$C$2:$C$1471,C643,$D$2:$D$1471,D643,$E$2:$E$1471,E643,$F$2:$F$1471,F643,$G$2:$G$1471,G643,$H$2:$H$1471,H643,$I$2:$I$1471,I643,$J$2:$J$1471,J643,$K$2:$K$1471,K643,$L$2:$L$1471,L643,$M$2:$M$1471,M643,$N$2:$N$1471,N643,$O$2:$O$1471,O643,$P$2:$P$1471,P643,$Q$2:$Q$1471,Q643,$R$2:$R$1471,R643,$S$2:$S$1471,S643,$T$2:$T$1471,T643,$U$2:$U$1471,U643,$V$2:$V$1471,V643,$W$2:$W$1471,W643,$X$2:$X$1471,X643,$Y$2:$Y$1471,Y643,$Z$2:$Z$1471,Z643,$AA$2:$AA$1471,AA643,$AB$2:$AB$1471,AB643,$AC$2:$AC$1471,AC643,$AD$2:$AD$1471,AD643,$AE$2:$AE$1471,AE643,$AF$2:$AF$1471,AF643,$AG$2:$AG$1471,AG643,$AH$2:$AH$1471,AH643,$AI$2:$AI$1471,AI643)</f>
        <v>1</v>
      </c>
      <c r="AM643" t="str">
        <f t="shared" ref="AM643:AM706" si="41">IF(AF643&lt;=2,"0-2 Years",IF(AF643&lt;=5,"3-5 Years",IF(AF643&lt;=10,"6-10 Years",IF(AF643&lt;=15,"11-15 Years",IF(AF643&lt;=20,"16-20 Years","21+ Years")))))</f>
        <v>6-10 Years</v>
      </c>
      <c r="AN643" t="str">
        <f t="shared" ref="AN643:AN706" si="42">IF(AH643&lt;=2,"0-2 Years",IF(AH643&lt;=5,"3-5 Years",IF(AH643&lt;=10,"6-10 Years","11-15 Years")))</f>
        <v>3-5 Years</v>
      </c>
      <c r="AO643" t="str">
        <f t="shared" ref="AO643:AO706" si="43">IF(A643&lt;=25,"18-25 years",IF(A643&lt;=35,"26-35 years",IF(A643&lt;=45,"36-45 years",IF(A643&lt;=55,"46-55 Years","56+ years"))))</f>
        <v>26-35 years</v>
      </c>
    </row>
    <row r="644" spans="1:41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40"/>
        <v>1</v>
      </c>
      <c r="AM644" t="str">
        <f t="shared" si="41"/>
        <v>0-2 Years</v>
      </c>
      <c r="AN644" t="str">
        <f t="shared" si="42"/>
        <v>0-2 Years</v>
      </c>
      <c r="AO644" t="str">
        <f t="shared" si="43"/>
        <v>36-45 years</v>
      </c>
    </row>
    <row r="645" spans="1:41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40"/>
        <v>1</v>
      </c>
      <c r="AM645" t="str">
        <f t="shared" si="41"/>
        <v>3-5 Years</v>
      </c>
      <c r="AN645" t="str">
        <f t="shared" si="42"/>
        <v>0-2 Years</v>
      </c>
      <c r="AO645" t="str">
        <f t="shared" si="43"/>
        <v>36-45 years</v>
      </c>
    </row>
    <row r="646" spans="1:41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40"/>
        <v>1</v>
      </c>
      <c r="AM646" t="str">
        <f t="shared" si="41"/>
        <v>6-10 Years</v>
      </c>
      <c r="AN646" t="str">
        <f t="shared" si="42"/>
        <v>0-2 Years</v>
      </c>
      <c r="AO646" t="str">
        <f t="shared" si="43"/>
        <v>26-35 years</v>
      </c>
    </row>
    <row r="647" spans="1:41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40"/>
        <v>1</v>
      </c>
      <c r="AM647" t="str">
        <f t="shared" si="41"/>
        <v>3-5 Years</v>
      </c>
      <c r="AN647" t="str">
        <f t="shared" si="42"/>
        <v>0-2 Years</v>
      </c>
      <c r="AO647" t="str">
        <f t="shared" si="43"/>
        <v>26-35 years</v>
      </c>
    </row>
    <row r="648" spans="1:41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40"/>
        <v>1</v>
      </c>
      <c r="AM648" t="str">
        <f t="shared" si="41"/>
        <v>0-2 Years</v>
      </c>
      <c r="AN648" t="str">
        <f t="shared" si="42"/>
        <v>0-2 Years</v>
      </c>
      <c r="AO648" t="str">
        <f t="shared" si="43"/>
        <v>46-55 Years</v>
      </c>
    </row>
    <row r="649" spans="1:41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40"/>
        <v>1</v>
      </c>
      <c r="AM649" t="str">
        <f t="shared" si="41"/>
        <v>11-15 Years</v>
      </c>
      <c r="AN649" t="str">
        <f t="shared" si="42"/>
        <v>3-5 Years</v>
      </c>
      <c r="AO649" t="str">
        <f t="shared" si="43"/>
        <v>26-35 years</v>
      </c>
    </row>
    <row r="650" spans="1:41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40"/>
        <v>1</v>
      </c>
      <c r="AM650" t="str">
        <f t="shared" si="41"/>
        <v>3-5 Years</v>
      </c>
      <c r="AN650" t="str">
        <f t="shared" si="42"/>
        <v>0-2 Years</v>
      </c>
      <c r="AO650" t="str">
        <f t="shared" si="43"/>
        <v>36-45 years</v>
      </c>
    </row>
    <row r="651" spans="1:41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40"/>
        <v>1</v>
      </c>
      <c r="AM651" t="str">
        <f t="shared" si="41"/>
        <v>11-15 Years</v>
      </c>
      <c r="AN651" t="str">
        <f t="shared" si="42"/>
        <v>3-5 Years</v>
      </c>
      <c r="AO651" t="str">
        <f t="shared" si="43"/>
        <v>46-55 Years</v>
      </c>
    </row>
    <row r="652" spans="1:41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40"/>
        <v>1</v>
      </c>
      <c r="AM652" t="str">
        <f t="shared" si="41"/>
        <v>3-5 Years</v>
      </c>
      <c r="AN652" t="str">
        <f t="shared" si="42"/>
        <v>0-2 Years</v>
      </c>
      <c r="AO652" t="str">
        <f t="shared" si="43"/>
        <v>36-45 years</v>
      </c>
    </row>
    <row r="653" spans="1:41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40"/>
        <v>1</v>
      </c>
      <c r="AM653" t="str">
        <f t="shared" si="41"/>
        <v>6-10 Years</v>
      </c>
      <c r="AN653" t="str">
        <f t="shared" si="42"/>
        <v>6-10 Years</v>
      </c>
      <c r="AO653" t="str">
        <f t="shared" si="43"/>
        <v>46-55 Years</v>
      </c>
    </row>
    <row r="654" spans="1:41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40"/>
        <v>1</v>
      </c>
      <c r="AM654" t="str">
        <f t="shared" si="41"/>
        <v>6-10 Years</v>
      </c>
      <c r="AN654" t="str">
        <f t="shared" si="42"/>
        <v>0-2 Years</v>
      </c>
      <c r="AO654" t="str">
        <f t="shared" si="43"/>
        <v>36-45 years</v>
      </c>
    </row>
    <row r="655" spans="1:41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40"/>
        <v>1</v>
      </c>
      <c r="AM655" t="str">
        <f t="shared" si="41"/>
        <v>21+ Years</v>
      </c>
      <c r="AN655" t="str">
        <f t="shared" si="42"/>
        <v>11-15 Years</v>
      </c>
      <c r="AO655" t="str">
        <f t="shared" si="43"/>
        <v>46-55 Years</v>
      </c>
    </row>
    <row r="656" spans="1:41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40"/>
        <v>1</v>
      </c>
      <c r="AM656" t="str">
        <f t="shared" si="41"/>
        <v>3-5 Years</v>
      </c>
      <c r="AN656" t="str">
        <f t="shared" si="42"/>
        <v>0-2 Years</v>
      </c>
      <c r="AO656" t="str">
        <f t="shared" si="43"/>
        <v>36-45 years</v>
      </c>
    </row>
    <row r="657" spans="1:41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40"/>
        <v>1</v>
      </c>
      <c r="AM657" t="str">
        <f t="shared" si="41"/>
        <v>3-5 Years</v>
      </c>
      <c r="AN657" t="str">
        <f t="shared" si="42"/>
        <v>0-2 Years</v>
      </c>
      <c r="AO657" t="str">
        <f t="shared" si="43"/>
        <v>26-35 years</v>
      </c>
    </row>
    <row r="658" spans="1:41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40"/>
        <v>1</v>
      </c>
      <c r="AM658" t="str">
        <f t="shared" si="41"/>
        <v>0-2 Years</v>
      </c>
      <c r="AN658" t="str">
        <f t="shared" si="42"/>
        <v>0-2 Years</v>
      </c>
      <c r="AO658" t="str">
        <f t="shared" si="43"/>
        <v>26-35 years</v>
      </c>
    </row>
    <row r="659" spans="1:41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40"/>
        <v>1</v>
      </c>
      <c r="AM659" t="str">
        <f t="shared" si="41"/>
        <v>3-5 Years</v>
      </c>
      <c r="AN659" t="str">
        <f t="shared" si="42"/>
        <v>0-2 Years</v>
      </c>
      <c r="AO659" t="str">
        <f t="shared" si="43"/>
        <v>26-35 years</v>
      </c>
    </row>
    <row r="660" spans="1:41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40"/>
        <v>1</v>
      </c>
      <c r="AM660" t="str">
        <f t="shared" si="41"/>
        <v>6-10 Years</v>
      </c>
      <c r="AN660" t="str">
        <f t="shared" si="42"/>
        <v>6-10 Years</v>
      </c>
      <c r="AO660" t="str">
        <f t="shared" si="43"/>
        <v>36-45 years</v>
      </c>
    </row>
    <row r="661" spans="1:41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40"/>
        <v>1</v>
      </c>
      <c r="AM661" t="str">
        <f t="shared" si="41"/>
        <v>3-5 Years</v>
      </c>
      <c r="AN661" t="str">
        <f t="shared" si="42"/>
        <v>0-2 Years</v>
      </c>
      <c r="AO661" t="str">
        <f t="shared" si="43"/>
        <v>26-35 years</v>
      </c>
    </row>
    <row r="662" spans="1:41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40"/>
        <v>1</v>
      </c>
      <c r="AM662" t="str">
        <f t="shared" si="41"/>
        <v>0-2 Years</v>
      </c>
      <c r="AN662" t="str">
        <f t="shared" si="42"/>
        <v>0-2 Years</v>
      </c>
      <c r="AO662" t="str">
        <f t="shared" si="43"/>
        <v>56+ years</v>
      </c>
    </row>
    <row r="663" spans="1:41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40"/>
        <v>1</v>
      </c>
      <c r="AM663" t="str">
        <f t="shared" si="41"/>
        <v>0-2 Years</v>
      </c>
      <c r="AN663" t="str">
        <f t="shared" si="42"/>
        <v>0-2 Years</v>
      </c>
      <c r="AO663" t="str">
        <f t="shared" si="43"/>
        <v>36-45 years</v>
      </c>
    </row>
    <row r="664" spans="1:41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40"/>
        <v>1</v>
      </c>
      <c r="AM664" t="str">
        <f t="shared" si="41"/>
        <v>0-2 Years</v>
      </c>
      <c r="AN664" t="str">
        <f t="shared" si="42"/>
        <v>0-2 Years</v>
      </c>
      <c r="AO664" t="str">
        <f t="shared" si="43"/>
        <v>18-25 years</v>
      </c>
    </row>
    <row r="665" spans="1:41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40"/>
        <v>1</v>
      </c>
      <c r="AM665" t="str">
        <f t="shared" si="41"/>
        <v>0-2 Years</v>
      </c>
      <c r="AN665" t="str">
        <f t="shared" si="42"/>
        <v>0-2 Years</v>
      </c>
      <c r="AO665" t="str">
        <f t="shared" si="43"/>
        <v>18-25 years</v>
      </c>
    </row>
    <row r="666" spans="1:41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40"/>
        <v>1</v>
      </c>
      <c r="AM666" t="str">
        <f t="shared" si="41"/>
        <v>16-20 Years</v>
      </c>
      <c r="AN666" t="str">
        <f t="shared" si="42"/>
        <v>3-5 Years</v>
      </c>
      <c r="AO666" t="str">
        <f t="shared" si="43"/>
        <v>36-45 years</v>
      </c>
    </row>
    <row r="667" spans="1:41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40"/>
        <v>1</v>
      </c>
      <c r="AM667" t="str">
        <f t="shared" si="41"/>
        <v>3-5 Years</v>
      </c>
      <c r="AN667" t="str">
        <f t="shared" si="42"/>
        <v>0-2 Years</v>
      </c>
      <c r="AO667" t="str">
        <f t="shared" si="43"/>
        <v>46-55 Years</v>
      </c>
    </row>
    <row r="668" spans="1:41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40"/>
        <v>1</v>
      </c>
      <c r="AM668" t="str">
        <f t="shared" si="41"/>
        <v>3-5 Years</v>
      </c>
      <c r="AN668" t="str">
        <f t="shared" si="42"/>
        <v>0-2 Years</v>
      </c>
      <c r="AO668" t="str">
        <f t="shared" si="43"/>
        <v>18-25 years</v>
      </c>
    </row>
    <row r="669" spans="1:41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40"/>
        <v>1</v>
      </c>
      <c r="AM669" t="str">
        <f t="shared" si="41"/>
        <v>6-10 Years</v>
      </c>
      <c r="AN669" t="str">
        <f t="shared" si="42"/>
        <v>0-2 Years</v>
      </c>
      <c r="AO669" t="str">
        <f t="shared" si="43"/>
        <v>36-45 years</v>
      </c>
    </row>
    <row r="670" spans="1:41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40"/>
        <v>1</v>
      </c>
      <c r="AM670" t="str">
        <f t="shared" si="41"/>
        <v>0-2 Years</v>
      </c>
      <c r="AN670" t="str">
        <f t="shared" si="42"/>
        <v>0-2 Years</v>
      </c>
      <c r="AO670" t="str">
        <f t="shared" si="43"/>
        <v>26-35 years</v>
      </c>
    </row>
    <row r="671" spans="1:41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40"/>
        <v>1</v>
      </c>
      <c r="AM671" t="str">
        <f t="shared" si="41"/>
        <v>0-2 Years</v>
      </c>
      <c r="AN671" t="str">
        <f t="shared" si="42"/>
        <v>0-2 Years</v>
      </c>
      <c r="AO671" t="str">
        <f t="shared" si="43"/>
        <v>36-45 years</v>
      </c>
    </row>
    <row r="672" spans="1:41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40"/>
        <v>1</v>
      </c>
      <c r="AM672" t="str">
        <f t="shared" si="41"/>
        <v>0-2 Years</v>
      </c>
      <c r="AN672" t="str">
        <f t="shared" si="42"/>
        <v>0-2 Years</v>
      </c>
      <c r="AO672" t="str">
        <f t="shared" si="43"/>
        <v>26-35 years</v>
      </c>
    </row>
    <row r="673" spans="1:41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40"/>
        <v>1</v>
      </c>
      <c r="AM673" t="str">
        <f t="shared" si="41"/>
        <v>0-2 Years</v>
      </c>
      <c r="AN673" t="str">
        <f t="shared" si="42"/>
        <v>0-2 Years</v>
      </c>
      <c r="AO673" t="str">
        <f t="shared" si="43"/>
        <v>26-35 years</v>
      </c>
    </row>
    <row r="674" spans="1:41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40"/>
        <v>1</v>
      </c>
      <c r="AM674" t="str">
        <f t="shared" si="41"/>
        <v>3-5 Years</v>
      </c>
      <c r="AN674" t="str">
        <f t="shared" si="42"/>
        <v>0-2 Years</v>
      </c>
      <c r="AO674" t="str">
        <f t="shared" si="43"/>
        <v>36-45 years</v>
      </c>
    </row>
    <row r="675" spans="1:41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40"/>
        <v>1</v>
      </c>
      <c r="AM675" t="str">
        <f t="shared" si="41"/>
        <v>3-5 Years</v>
      </c>
      <c r="AN675" t="str">
        <f t="shared" si="42"/>
        <v>0-2 Years</v>
      </c>
      <c r="AO675" t="str">
        <f t="shared" si="43"/>
        <v>26-35 years</v>
      </c>
    </row>
    <row r="676" spans="1:41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40"/>
        <v>1</v>
      </c>
      <c r="AM676" t="str">
        <f t="shared" si="41"/>
        <v>6-10 Years</v>
      </c>
      <c r="AN676" t="str">
        <f t="shared" si="42"/>
        <v>0-2 Years</v>
      </c>
      <c r="AO676" t="str">
        <f t="shared" si="43"/>
        <v>56+ years</v>
      </c>
    </row>
    <row r="677" spans="1:41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40"/>
        <v>1</v>
      </c>
      <c r="AM677" t="str">
        <f t="shared" si="41"/>
        <v>6-10 Years</v>
      </c>
      <c r="AN677" t="str">
        <f t="shared" si="42"/>
        <v>3-5 Years</v>
      </c>
      <c r="AO677" t="str">
        <f t="shared" si="43"/>
        <v>26-35 years</v>
      </c>
    </row>
    <row r="678" spans="1:41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40"/>
        <v>1</v>
      </c>
      <c r="AM678" t="str">
        <f t="shared" si="41"/>
        <v>6-10 Years</v>
      </c>
      <c r="AN678" t="str">
        <f t="shared" si="42"/>
        <v>0-2 Years</v>
      </c>
      <c r="AO678" t="str">
        <f t="shared" si="43"/>
        <v>26-35 years</v>
      </c>
    </row>
    <row r="679" spans="1:41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40"/>
        <v>1</v>
      </c>
      <c r="AM679" t="str">
        <f t="shared" si="41"/>
        <v>21+ Years</v>
      </c>
      <c r="AN679" t="str">
        <f t="shared" si="42"/>
        <v>0-2 Years</v>
      </c>
      <c r="AO679" t="str">
        <f t="shared" si="43"/>
        <v>46-55 Years</v>
      </c>
    </row>
    <row r="680" spans="1:41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40"/>
        <v>1</v>
      </c>
      <c r="AM680" t="str">
        <f t="shared" si="41"/>
        <v>0-2 Years</v>
      </c>
      <c r="AN680" t="str">
        <f t="shared" si="42"/>
        <v>0-2 Years</v>
      </c>
      <c r="AO680" t="str">
        <f t="shared" si="43"/>
        <v>46-55 Years</v>
      </c>
    </row>
    <row r="681" spans="1:41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40"/>
        <v>1</v>
      </c>
      <c r="AM681" t="str">
        <f t="shared" si="41"/>
        <v>6-10 Years</v>
      </c>
      <c r="AN681" t="str">
        <f t="shared" si="42"/>
        <v>0-2 Years</v>
      </c>
      <c r="AO681" t="str">
        <f t="shared" si="43"/>
        <v>26-35 years</v>
      </c>
    </row>
    <row r="682" spans="1:41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40"/>
        <v>1</v>
      </c>
      <c r="AM682" t="str">
        <f t="shared" si="41"/>
        <v>6-10 Years</v>
      </c>
      <c r="AN682" t="str">
        <f t="shared" si="42"/>
        <v>0-2 Years</v>
      </c>
      <c r="AO682" t="str">
        <f t="shared" si="43"/>
        <v>36-45 years</v>
      </c>
    </row>
    <row r="683" spans="1:41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40"/>
        <v>1</v>
      </c>
      <c r="AM683" t="str">
        <f t="shared" si="41"/>
        <v>11-15 Years</v>
      </c>
      <c r="AN683" t="str">
        <f t="shared" si="42"/>
        <v>3-5 Years</v>
      </c>
      <c r="AO683" t="str">
        <f t="shared" si="43"/>
        <v>36-45 years</v>
      </c>
    </row>
    <row r="684" spans="1:41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40"/>
        <v>1</v>
      </c>
      <c r="AM684" t="str">
        <f t="shared" si="41"/>
        <v>3-5 Years</v>
      </c>
      <c r="AN684" t="str">
        <f t="shared" si="42"/>
        <v>0-2 Years</v>
      </c>
      <c r="AO684" t="str">
        <f t="shared" si="43"/>
        <v>26-35 years</v>
      </c>
    </row>
    <row r="685" spans="1:41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40"/>
        <v>1</v>
      </c>
      <c r="AM685" t="str">
        <f t="shared" si="41"/>
        <v>0-2 Years</v>
      </c>
      <c r="AN685" t="str">
        <f t="shared" si="42"/>
        <v>0-2 Years</v>
      </c>
      <c r="AO685" t="str">
        <f t="shared" si="43"/>
        <v>18-25 years</v>
      </c>
    </row>
    <row r="686" spans="1:41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40"/>
        <v>1</v>
      </c>
      <c r="AM686" t="str">
        <f t="shared" si="41"/>
        <v>0-2 Years</v>
      </c>
      <c r="AN686" t="str">
        <f t="shared" si="42"/>
        <v>0-2 Years</v>
      </c>
      <c r="AO686" t="str">
        <f t="shared" si="43"/>
        <v>36-45 years</v>
      </c>
    </row>
    <row r="687" spans="1:41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40"/>
        <v>1</v>
      </c>
      <c r="AM687" t="str">
        <f t="shared" si="41"/>
        <v>6-10 Years</v>
      </c>
      <c r="AN687" t="str">
        <f t="shared" si="42"/>
        <v>0-2 Years</v>
      </c>
      <c r="AO687" t="str">
        <f t="shared" si="43"/>
        <v>26-35 years</v>
      </c>
    </row>
    <row r="688" spans="1:41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40"/>
        <v>1</v>
      </c>
      <c r="AM688" t="str">
        <f t="shared" si="41"/>
        <v>16-20 Years</v>
      </c>
      <c r="AN688" t="str">
        <f t="shared" si="42"/>
        <v>0-2 Years</v>
      </c>
      <c r="AO688" t="str">
        <f t="shared" si="43"/>
        <v>36-45 years</v>
      </c>
    </row>
    <row r="689" spans="1:41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40"/>
        <v>1</v>
      </c>
      <c r="AM689" t="str">
        <f t="shared" si="41"/>
        <v>11-15 Years</v>
      </c>
      <c r="AN689" t="str">
        <f t="shared" si="42"/>
        <v>3-5 Years</v>
      </c>
      <c r="AO689" t="str">
        <f t="shared" si="43"/>
        <v>36-45 years</v>
      </c>
    </row>
    <row r="690" spans="1:41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40"/>
        <v>1</v>
      </c>
      <c r="AM690" t="str">
        <f t="shared" si="41"/>
        <v>0-2 Years</v>
      </c>
      <c r="AN690" t="str">
        <f t="shared" si="42"/>
        <v>0-2 Years</v>
      </c>
      <c r="AO690" t="str">
        <f t="shared" si="43"/>
        <v>18-25 years</v>
      </c>
    </row>
    <row r="691" spans="1:41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40"/>
        <v>1</v>
      </c>
      <c r="AM691" t="str">
        <f t="shared" si="41"/>
        <v>0-2 Years</v>
      </c>
      <c r="AN691" t="str">
        <f t="shared" si="42"/>
        <v>0-2 Years</v>
      </c>
      <c r="AO691" t="str">
        <f t="shared" si="43"/>
        <v>18-25 years</v>
      </c>
    </row>
    <row r="692" spans="1:41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40"/>
        <v>1</v>
      </c>
      <c r="AM692" t="str">
        <f t="shared" si="41"/>
        <v>6-10 Years</v>
      </c>
      <c r="AN692" t="str">
        <f t="shared" si="42"/>
        <v>6-10 Years</v>
      </c>
      <c r="AO692" t="str">
        <f t="shared" si="43"/>
        <v>26-35 years</v>
      </c>
    </row>
    <row r="693" spans="1:41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40"/>
        <v>1</v>
      </c>
      <c r="AM693" t="str">
        <f t="shared" si="41"/>
        <v>0-2 Years</v>
      </c>
      <c r="AN693" t="str">
        <f t="shared" si="42"/>
        <v>0-2 Years</v>
      </c>
      <c r="AO693" t="str">
        <f t="shared" si="43"/>
        <v>36-45 years</v>
      </c>
    </row>
    <row r="694" spans="1:41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40"/>
        <v>1</v>
      </c>
      <c r="AM694" t="str">
        <f t="shared" si="41"/>
        <v>6-10 Years</v>
      </c>
      <c r="AN694" t="str">
        <f t="shared" si="42"/>
        <v>6-10 Years</v>
      </c>
      <c r="AO694" t="str">
        <f t="shared" si="43"/>
        <v>26-35 years</v>
      </c>
    </row>
    <row r="695" spans="1:41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40"/>
        <v>1</v>
      </c>
      <c r="AM695" t="str">
        <f t="shared" si="41"/>
        <v>16-20 Years</v>
      </c>
      <c r="AN695" t="str">
        <f t="shared" si="42"/>
        <v>3-5 Years</v>
      </c>
      <c r="AO695" t="str">
        <f t="shared" si="43"/>
        <v>36-45 years</v>
      </c>
    </row>
    <row r="696" spans="1:41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40"/>
        <v>1</v>
      </c>
      <c r="AM696" t="str">
        <f t="shared" si="41"/>
        <v>3-5 Years</v>
      </c>
      <c r="AN696" t="str">
        <f t="shared" si="42"/>
        <v>0-2 Years</v>
      </c>
      <c r="AO696" t="str">
        <f t="shared" si="43"/>
        <v>26-35 years</v>
      </c>
    </row>
    <row r="697" spans="1:41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40"/>
        <v>1</v>
      </c>
      <c r="AM697" t="str">
        <f t="shared" si="41"/>
        <v>11-15 Years</v>
      </c>
      <c r="AN697" t="str">
        <f t="shared" si="42"/>
        <v>11-15 Years</v>
      </c>
      <c r="AO697" t="str">
        <f t="shared" si="43"/>
        <v>36-45 years</v>
      </c>
    </row>
    <row r="698" spans="1:41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40"/>
        <v>1</v>
      </c>
      <c r="AM698" t="str">
        <f t="shared" si="41"/>
        <v>6-10 Years</v>
      </c>
      <c r="AN698" t="str">
        <f t="shared" si="42"/>
        <v>0-2 Years</v>
      </c>
      <c r="AO698" t="str">
        <f t="shared" si="43"/>
        <v>36-45 years</v>
      </c>
    </row>
    <row r="699" spans="1:41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40"/>
        <v>1</v>
      </c>
      <c r="AM699" t="str">
        <f t="shared" si="41"/>
        <v>3-5 Years</v>
      </c>
      <c r="AN699" t="str">
        <f t="shared" si="42"/>
        <v>0-2 Years</v>
      </c>
      <c r="AO699" t="str">
        <f t="shared" si="43"/>
        <v>26-35 years</v>
      </c>
    </row>
    <row r="700" spans="1:41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40"/>
        <v>1</v>
      </c>
      <c r="AM700" t="str">
        <f t="shared" si="41"/>
        <v>3-5 Years</v>
      </c>
      <c r="AN700" t="str">
        <f t="shared" si="42"/>
        <v>0-2 Years</v>
      </c>
      <c r="AO700" t="str">
        <f t="shared" si="43"/>
        <v>26-35 years</v>
      </c>
    </row>
    <row r="701" spans="1:41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40"/>
        <v>1</v>
      </c>
      <c r="AM701" t="str">
        <f t="shared" si="41"/>
        <v>6-10 Years</v>
      </c>
      <c r="AN701" t="str">
        <f t="shared" si="42"/>
        <v>6-10 Years</v>
      </c>
      <c r="AO701" t="str">
        <f t="shared" si="43"/>
        <v>46-55 Years</v>
      </c>
    </row>
    <row r="702" spans="1:41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40"/>
        <v>1</v>
      </c>
      <c r="AM702" t="str">
        <f t="shared" si="41"/>
        <v>0-2 Years</v>
      </c>
      <c r="AN702" t="str">
        <f t="shared" si="42"/>
        <v>0-2 Years</v>
      </c>
      <c r="AO702" t="str">
        <f t="shared" si="43"/>
        <v>56+ years</v>
      </c>
    </row>
    <row r="703" spans="1:41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40"/>
        <v>1</v>
      </c>
      <c r="AM703" t="str">
        <f t="shared" si="41"/>
        <v>16-20 Years</v>
      </c>
      <c r="AN703" t="str">
        <f t="shared" si="42"/>
        <v>11-15 Years</v>
      </c>
      <c r="AO703" t="str">
        <f t="shared" si="43"/>
        <v>46-55 Years</v>
      </c>
    </row>
    <row r="704" spans="1:41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40"/>
        <v>1</v>
      </c>
      <c r="AM704" t="str">
        <f t="shared" si="41"/>
        <v>6-10 Years</v>
      </c>
      <c r="AN704" t="str">
        <f t="shared" si="42"/>
        <v>6-10 Years</v>
      </c>
      <c r="AO704" t="str">
        <f t="shared" si="43"/>
        <v>26-35 years</v>
      </c>
    </row>
    <row r="705" spans="1:41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40"/>
        <v>1</v>
      </c>
      <c r="AM705" t="str">
        <f t="shared" si="41"/>
        <v>3-5 Years</v>
      </c>
      <c r="AN705" t="str">
        <f t="shared" si="42"/>
        <v>0-2 Years</v>
      </c>
      <c r="AO705" t="str">
        <f t="shared" si="43"/>
        <v>36-45 years</v>
      </c>
    </row>
    <row r="706" spans="1:41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si="40"/>
        <v>1</v>
      </c>
      <c r="AM706" t="str">
        <f t="shared" si="41"/>
        <v>6-10 Years</v>
      </c>
      <c r="AN706" t="str">
        <f t="shared" si="42"/>
        <v>0-2 Years</v>
      </c>
      <c r="AO706" t="str">
        <f t="shared" si="43"/>
        <v>26-35 years</v>
      </c>
    </row>
    <row r="707" spans="1:41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ref="AJ707:AJ770" si="44">COUNTIFS($A$2:$A$1471,A707,$B$2:$B$1471,B707,$C$2:$C$1471,C707,$D$2:$D$1471,D707,$E$2:$E$1471,E707,$F$2:$F$1471,F707,$G$2:$G$1471,G707,$H$2:$H$1471,H707,$I$2:$I$1471,I707,$J$2:$J$1471,J707,$K$2:$K$1471,K707,$L$2:$L$1471,L707,$M$2:$M$1471,M707,$N$2:$N$1471,N707,$O$2:$O$1471,O707,$P$2:$P$1471,P707,$Q$2:$Q$1471,Q707,$R$2:$R$1471,R707,$S$2:$S$1471,S707,$T$2:$T$1471,T707,$U$2:$U$1471,U707,$V$2:$V$1471,V707,$W$2:$W$1471,W707,$X$2:$X$1471,X707,$Y$2:$Y$1471,Y707,$Z$2:$Z$1471,Z707,$AA$2:$AA$1471,AA707,$AB$2:$AB$1471,AB707,$AC$2:$AC$1471,AC707,$AD$2:$AD$1471,AD707,$AE$2:$AE$1471,AE707,$AF$2:$AF$1471,AF707,$AG$2:$AG$1471,AG707,$AH$2:$AH$1471,AH707,$AI$2:$AI$1471,AI707)</f>
        <v>1</v>
      </c>
      <c r="AM707" t="str">
        <f t="shared" ref="AM707:AM770" si="45">IF(AF707&lt;=2,"0-2 Years",IF(AF707&lt;=5,"3-5 Years",IF(AF707&lt;=10,"6-10 Years",IF(AF707&lt;=15,"11-15 Years",IF(AF707&lt;=20,"16-20 Years","21+ Years")))))</f>
        <v>6-10 Years</v>
      </c>
      <c r="AN707" t="str">
        <f t="shared" ref="AN707:AN770" si="46">IF(AH707&lt;=2,"0-2 Years",IF(AH707&lt;=5,"3-5 Years",IF(AH707&lt;=10,"6-10 Years","11-15 Years")))</f>
        <v>0-2 Years</v>
      </c>
      <c r="AO707" t="str">
        <f t="shared" ref="AO707:AO770" si="47">IF(A707&lt;=25,"18-25 years",IF(A707&lt;=35,"26-35 years",IF(A707&lt;=45,"36-45 years",IF(A707&lt;=55,"46-55 Years","56+ years"))))</f>
        <v>36-45 years</v>
      </c>
    </row>
    <row r="708" spans="1:41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44"/>
        <v>1</v>
      </c>
      <c r="AM708" t="str">
        <f t="shared" si="45"/>
        <v>0-2 Years</v>
      </c>
      <c r="AN708" t="str">
        <f t="shared" si="46"/>
        <v>0-2 Years</v>
      </c>
      <c r="AO708" t="str">
        <f t="shared" si="47"/>
        <v>36-45 years</v>
      </c>
    </row>
    <row r="709" spans="1:41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44"/>
        <v>1</v>
      </c>
      <c r="AM709" t="str">
        <f t="shared" si="45"/>
        <v>16-20 Years</v>
      </c>
      <c r="AN709" t="str">
        <f t="shared" si="46"/>
        <v>0-2 Years</v>
      </c>
      <c r="AO709" t="str">
        <f t="shared" si="47"/>
        <v>46-55 Years</v>
      </c>
    </row>
    <row r="710" spans="1:41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44"/>
        <v>1</v>
      </c>
      <c r="AM710" t="str">
        <f t="shared" si="45"/>
        <v>6-10 Years</v>
      </c>
      <c r="AN710" t="str">
        <f t="shared" si="46"/>
        <v>0-2 Years</v>
      </c>
      <c r="AO710" t="str">
        <f t="shared" si="47"/>
        <v>36-45 years</v>
      </c>
    </row>
    <row r="711" spans="1:41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44"/>
        <v>1</v>
      </c>
      <c r="AM711" t="str">
        <f t="shared" si="45"/>
        <v>3-5 Years</v>
      </c>
      <c r="AN711" t="str">
        <f t="shared" si="46"/>
        <v>0-2 Years</v>
      </c>
      <c r="AO711" t="str">
        <f t="shared" si="47"/>
        <v>26-35 years</v>
      </c>
    </row>
    <row r="712" spans="1:41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44"/>
        <v>1</v>
      </c>
      <c r="AM712" t="str">
        <f t="shared" si="45"/>
        <v>6-10 Years</v>
      </c>
      <c r="AN712" t="str">
        <f t="shared" si="46"/>
        <v>6-10 Years</v>
      </c>
      <c r="AO712" t="str">
        <f t="shared" si="47"/>
        <v>26-35 years</v>
      </c>
    </row>
    <row r="713" spans="1:41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44"/>
        <v>1</v>
      </c>
      <c r="AM713" t="str">
        <f t="shared" si="45"/>
        <v>0-2 Years</v>
      </c>
      <c r="AN713" t="str">
        <f t="shared" si="46"/>
        <v>0-2 Years</v>
      </c>
      <c r="AO713" t="str">
        <f t="shared" si="47"/>
        <v>26-35 years</v>
      </c>
    </row>
    <row r="714" spans="1:41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44"/>
        <v>1</v>
      </c>
      <c r="AM714" t="str">
        <f t="shared" si="45"/>
        <v>3-5 Years</v>
      </c>
      <c r="AN714" t="str">
        <f t="shared" si="46"/>
        <v>0-2 Years</v>
      </c>
      <c r="AO714" t="str">
        <f t="shared" si="47"/>
        <v>26-35 years</v>
      </c>
    </row>
    <row r="715" spans="1:41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44"/>
        <v>1</v>
      </c>
      <c r="AM715" t="str">
        <f t="shared" si="45"/>
        <v>3-5 Years</v>
      </c>
      <c r="AN715" t="str">
        <f t="shared" si="46"/>
        <v>0-2 Years</v>
      </c>
      <c r="AO715" t="str">
        <f t="shared" si="47"/>
        <v>36-45 years</v>
      </c>
    </row>
    <row r="716" spans="1:41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44"/>
        <v>1</v>
      </c>
      <c r="AM716" t="str">
        <f t="shared" si="45"/>
        <v>3-5 Years</v>
      </c>
      <c r="AN716" t="str">
        <f t="shared" si="46"/>
        <v>0-2 Years</v>
      </c>
      <c r="AO716" t="str">
        <f t="shared" si="47"/>
        <v>46-55 Years</v>
      </c>
    </row>
    <row r="717" spans="1:41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44"/>
        <v>1</v>
      </c>
      <c r="AM717" t="str">
        <f t="shared" si="45"/>
        <v>6-10 Years</v>
      </c>
      <c r="AN717" t="str">
        <f t="shared" si="46"/>
        <v>0-2 Years</v>
      </c>
      <c r="AO717" t="str">
        <f t="shared" si="47"/>
        <v>26-35 years</v>
      </c>
    </row>
    <row r="718" spans="1:41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44"/>
        <v>1</v>
      </c>
      <c r="AM718" t="str">
        <f t="shared" si="45"/>
        <v>16-20 Years</v>
      </c>
      <c r="AN718" t="str">
        <f t="shared" si="46"/>
        <v>0-2 Years</v>
      </c>
      <c r="AO718" t="str">
        <f t="shared" si="47"/>
        <v>36-45 years</v>
      </c>
    </row>
    <row r="719" spans="1:41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44"/>
        <v>1</v>
      </c>
      <c r="AM719" t="str">
        <f t="shared" si="45"/>
        <v>0-2 Years</v>
      </c>
      <c r="AN719" t="str">
        <f t="shared" si="46"/>
        <v>0-2 Years</v>
      </c>
      <c r="AO719" t="str">
        <f t="shared" si="47"/>
        <v>26-35 years</v>
      </c>
    </row>
    <row r="720" spans="1:41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44"/>
        <v>1</v>
      </c>
      <c r="AM720" t="str">
        <f t="shared" si="45"/>
        <v>6-10 Years</v>
      </c>
      <c r="AN720" t="str">
        <f t="shared" si="46"/>
        <v>0-2 Years</v>
      </c>
      <c r="AO720" t="str">
        <f t="shared" si="47"/>
        <v>36-45 years</v>
      </c>
    </row>
    <row r="721" spans="1:41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44"/>
        <v>1</v>
      </c>
      <c r="AM721" t="str">
        <f t="shared" si="45"/>
        <v>6-10 Years</v>
      </c>
      <c r="AN721" t="str">
        <f t="shared" si="46"/>
        <v>0-2 Years</v>
      </c>
      <c r="AO721" t="str">
        <f t="shared" si="47"/>
        <v>46-55 Years</v>
      </c>
    </row>
    <row r="722" spans="1:41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44"/>
        <v>1</v>
      </c>
      <c r="AM722" t="str">
        <f t="shared" si="45"/>
        <v>3-5 Years</v>
      </c>
      <c r="AN722" t="str">
        <f t="shared" si="46"/>
        <v>0-2 Years</v>
      </c>
      <c r="AO722" t="str">
        <f t="shared" si="47"/>
        <v>26-35 years</v>
      </c>
    </row>
    <row r="723" spans="1:41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44"/>
        <v>1</v>
      </c>
      <c r="AM723" t="str">
        <f t="shared" si="45"/>
        <v>11-15 Years</v>
      </c>
      <c r="AN723" t="str">
        <f t="shared" si="46"/>
        <v>0-2 Years</v>
      </c>
      <c r="AO723" t="str">
        <f t="shared" si="47"/>
        <v>46-55 Years</v>
      </c>
    </row>
    <row r="724" spans="1:41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44"/>
        <v>1</v>
      </c>
      <c r="AM724" t="str">
        <f t="shared" si="45"/>
        <v>0-2 Years</v>
      </c>
      <c r="AN724" t="str">
        <f t="shared" si="46"/>
        <v>0-2 Years</v>
      </c>
      <c r="AO724" t="str">
        <f t="shared" si="47"/>
        <v>36-45 years</v>
      </c>
    </row>
    <row r="725" spans="1:41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44"/>
        <v>1</v>
      </c>
      <c r="AM725" t="str">
        <f t="shared" si="45"/>
        <v>6-10 Years</v>
      </c>
      <c r="AN725" t="str">
        <f t="shared" si="46"/>
        <v>0-2 Years</v>
      </c>
      <c r="AO725" t="str">
        <f t="shared" si="47"/>
        <v>46-55 Years</v>
      </c>
    </row>
    <row r="726" spans="1:41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44"/>
        <v>1</v>
      </c>
      <c r="AM726" t="str">
        <f t="shared" si="45"/>
        <v>3-5 Years</v>
      </c>
      <c r="AN726" t="str">
        <f t="shared" si="46"/>
        <v>3-5 Years</v>
      </c>
      <c r="AO726" t="str">
        <f t="shared" si="47"/>
        <v>18-25 years</v>
      </c>
    </row>
    <row r="727" spans="1:41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44"/>
        <v>1</v>
      </c>
      <c r="AM727" t="str">
        <f t="shared" si="45"/>
        <v>3-5 Years</v>
      </c>
      <c r="AN727" t="str">
        <f t="shared" si="46"/>
        <v>0-2 Years</v>
      </c>
      <c r="AO727" t="str">
        <f t="shared" si="47"/>
        <v>26-35 years</v>
      </c>
    </row>
    <row r="728" spans="1:41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44"/>
        <v>1</v>
      </c>
      <c r="AM728" t="str">
        <f t="shared" si="45"/>
        <v>3-5 Years</v>
      </c>
      <c r="AN728" t="str">
        <f t="shared" si="46"/>
        <v>0-2 Years</v>
      </c>
      <c r="AO728" t="str">
        <f t="shared" si="47"/>
        <v>26-35 years</v>
      </c>
    </row>
    <row r="729" spans="1:41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44"/>
        <v>1</v>
      </c>
      <c r="AM729" t="str">
        <f t="shared" si="45"/>
        <v>0-2 Years</v>
      </c>
      <c r="AN729" t="str">
        <f t="shared" si="46"/>
        <v>0-2 Years</v>
      </c>
      <c r="AO729" t="str">
        <f t="shared" si="47"/>
        <v>18-25 years</v>
      </c>
    </row>
    <row r="730" spans="1:41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44"/>
        <v>1</v>
      </c>
      <c r="AM730" t="str">
        <f t="shared" si="45"/>
        <v>6-10 Years</v>
      </c>
      <c r="AN730" t="str">
        <f t="shared" si="46"/>
        <v>0-2 Years</v>
      </c>
      <c r="AO730" t="str">
        <f t="shared" si="47"/>
        <v>46-55 Years</v>
      </c>
    </row>
    <row r="731" spans="1:41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44"/>
        <v>1</v>
      </c>
      <c r="AM731" t="str">
        <f t="shared" si="45"/>
        <v>16-20 Years</v>
      </c>
      <c r="AN731" t="str">
        <f t="shared" si="46"/>
        <v>6-10 Years</v>
      </c>
      <c r="AO731" t="str">
        <f t="shared" si="47"/>
        <v>26-35 years</v>
      </c>
    </row>
    <row r="732" spans="1:41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44"/>
        <v>1</v>
      </c>
      <c r="AM732" t="str">
        <f t="shared" si="45"/>
        <v>6-10 Years</v>
      </c>
      <c r="AN732" t="str">
        <f t="shared" si="46"/>
        <v>0-2 Years</v>
      </c>
      <c r="AO732" t="str">
        <f t="shared" si="47"/>
        <v>26-35 years</v>
      </c>
    </row>
    <row r="733" spans="1:41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44"/>
        <v>1</v>
      </c>
      <c r="AM733" t="str">
        <f t="shared" si="45"/>
        <v>0-2 Years</v>
      </c>
      <c r="AN733" t="str">
        <f t="shared" si="46"/>
        <v>0-2 Years</v>
      </c>
      <c r="AO733" t="str">
        <f t="shared" si="47"/>
        <v>18-25 years</v>
      </c>
    </row>
    <row r="734" spans="1:41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44"/>
        <v>1</v>
      </c>
      <c r="AM734" t="str">
        <f t="shared" si="45"/>
        <v>3-5 Years</v>
      </c>
      <c r="AN734" t="str">
        <f t="shared" si="46"/>
        <v>0-2 Years</v>
      </c>
      <c r="AO734" t="str">
        <f t="shared" si="47"/>
        <v>26-35 years</v>
      </c>
    </row>
    <row r="735" spans="1:41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44"/>
        <v>1</v>
      </c>
      <c r="AM735" t="str">
        <f t="shared" si="45"/>
        <v>6-10 Years</v>
      </c>
      <c r="AN735" t="str">
        <f t="shared" si="46"/>
        <v>0-2 Years</v>
      </c>
      <c r="AO735" t="str">
        <f t="shared" si="47"/>
        <v>26-35 years</v>
      </c>
    </row>
    <row r="736" spans="1:41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44"/>
        <v>1</v>
      </c>
      <c r="AM736" t="str">
        <f t="shared" si="45"/>
        <v>3-5 Years</v>
      </c>
      <c r="AN736" t="str">
        <f t="shared" si="46"/>
        <v>0-2 Years</v>
      </c>
      <c r="AO736" t="str">
        <f t="shared" si="47"/>
        <v>18-25 years</v>
      </c>
    </row>
    <row r="737" spans="1:41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44"/>
        <v>1</v>
      </c>
      <c r="AM737" t="str">
        <f t="shared" si="45"/>
        <v>0-2 Years</v>
      </c>
      <c r="AN737" t="str">
        <f t="shared" si="46"/>
        <v>0-2 Years</v>
      </c>
      <c r="AO737" t="str">
        <f t="shared" si="47"/>
        <v>46-55 Years</v>
      </c>
    </row>
    <row r="738" spans="1:41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44"/>
        <v>1</v>
      </c>
      <c r="AM738" t="str">
        <f t="shared" si="45"/>
        <v>11-15 Years</v>
      </c>
      <c r="AN738" t="str">
        <f t="shared" si="46"/>
        <v>3-5 Years</v>
      </c>
      <c r="AO738" t="str">
        <f t="shared" si="47"/>
        <v>46-55 Years</v>
      </c>
    </row>
    <row r="739" spans="1:41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44"/>
        <v>1</v>
      </c>
      <c r="AM739" t="str">
        <f t="shared" si="45"/>
        <v>0-2 Years</v>
      </c>
      <c r="AN739" t="str">
        <f t="shared" si="46"/>
        <v>0-2 Years</v>
      </c>
      <c r="AO739" t="str">
        <f t="shared" si="47"/>
        <v>36-45 years</v>
      </c>
    </row>
    <row r="740" spans="1:41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44"/>
        <v>1</v>
      </c>
      <c r="AM740" t="str">
        <f t="shared" si="45"/>
        <v>21+ Years</v>
      </c>
      <c r="AN740" t="str">
        <f t="shared" si="46"/>
        <v>11-15 Years</v>
      </c>
      <c r="AO740" t="str">
        <f t="shared" si="47"/>
        <v>36-45 years</v>
      </c>
    </row>
    <row r="741" spans="1:41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44"/>
        <v>1</v>
      </c>
      <c r="AM741" t="str">
        <f t="shared" si="45"/>
        <v>3-5 Years</v>
      </c>
      <c r="AN741" t="str">
        <f t="shared" si="46"/>
        <v>0-2 Years</v>
      </c>
      <c r="AO741" t="str">
        <f t="shared" si="47"/>
        <v>26-35 years</v>
      </c>
    </row>
    <row r="742" spans="1:41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44"/>
        <v>1</v>
      </c>
      <c r="AM742" t="str">
        <f t="shared" si="45"/>
        <v>3-5 Years</v>
      </c>
      <c r="AN742" t="str">
        <f t="shared" si="46"/>
        <v>0-2 Years</v>
      </c>
      <c r="AO742" t="str">
        <f t="shared" si="47"/>
        <v>26-35 years</v>
      </c>
    </row>
    <row r="743" spans="1:41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44"/>
        <v>1</v>
      </c>
      <c r="AM743" t="str">
        <f t="shared" si="45"/>
        <v>0-2 Years</v>
      </c>
      <c r="AN743" t="str">
        <f t="shared" si="46"/>
        <v>0-2 Years</v>
      </c>
      <c r="AO743" t="str">
        <f t="shared" si="47"/>
        <v>36-45 years</v>
      </c>
    </row>
    <row r="744" spans="1:41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44"/>
        <v>1</v>
      </c>
      <c r="AM744" t="str">
        <f t="shared" si="45"/>
        <v>0-2 Years</v>
      </c>
      <c r="AN744" t="str">
        <f t="shared" si="46"/>
        <v>0-2 Years</v>
      </c>
      <c r="AO744" t="str">
        <f t="shared" si="47"/>
        <v>46-55 Years</v>
      </c>
    </row>
    <row r="745" spans="1:41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44"/>
        <v>1</v>
      </c>
      <c r="AM745" t="str">
        <f t="shared" si="45"/>
        <v>3-5 Years</v>
      </c>
      <c r="AN745" t="str">
        <f t="shared" si="46"/>
        <v>3-5 Years</v>
      </c>
      <c r="AO745" t="str">
        <f t="shared" si="47"/>
        <v>56+ years</v>
      </c>
    </row>
    <row r="746" spans="1:41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44"/>
        <v>1</v>
      </c>
      <c r="AM746" t="str">
        <f t="shared" si="45"/>
        <v>0-2 Years</v>
      </c>
      <c r="AN746" t="str">
        <f t="shared" si="46"/>
        <v>0-2 Years</v>
      </c>
      <c r="AO746" t="str">
        <f t="shared" si="47"/>
        <v>36-45 years</v>
      </c>
    </row>
    <row r="747" spans="1:41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44"/>
        <v>1</v>
      </c>
      <c r="AM747" t="str">
        <f t="shared" si="45"/>
        <v>6-10 Years</v>
      </c>
      <c r="AN747" t="str">
        <f t="shared" si="46"/>
        <v>6-10 Years</v>
      </c>
      <c r="AO747" t="str">
        <f t="shared" si="47"/>
        <v>46-55 Years</v>
      </c>
    </row>
    <row r="748" spans="1:41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44"/>
        <v>1</v>
      </c>
      <c r="AM748" t="str">
        <f t="shared" si="45"/>
        <v>21+ Years</v>
      </c>
      <c r="AN748" t="str">
        <f t="shared" si="46"/>
        <v>3-5 Years</v>
      </c>
      <c r="AO748" t="str">
        <f t="shared" si="47"/>
        <v>36-45 years</v>
      </c>
    </row>
    <row r="749" spans="1:41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44"/>
        <v>1</v>
      </c>
      <c r="AM749" t="str">
        <f t="shared" si="45"/>
        <v>0-2 Years</v>
      </c>
      <c r="AN749" t="str">
        <f t="shared" si="46"/>
        <v>0-2 Years</v>
      </c>
      <c r="AO749" t="str">
        <f t="shared" si="47"/>
        <v>36-45 years</v>
      </c>
    </row>
    <row r="750" spans="1:41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44"/>
        <v>1</v>
      </c>
      <c r="AM750" t="str">
        <f t="shared" si="45"/>
        <v>0-2 Years</v>
      </c>
      <c r="AN750" t="str">
        <f t="shared" si="46"/>
        <v>0-2 Years</v>
      </c>
      <c r="AO750" t="str">
        <f t="shared" si="47"/>
        <v>26-35 years</v>
      </c>
    </row>
    <row r="751" spans="1:41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44"/>
        <v>1</v>
      </c>
      <c r="AM751" t="str">
        <f t="shared" si="45"/>
        <v>21+ Years</v>
      </c>
      <c r="AN751" t="str">
        <f t="shared" si="46"/>
        <v>6-10 Years</v>
      </c>
      <c r="AO751" t="str">
        <f t="shared" si="47"/>
        <v>46-55 Years</v>
      </c>
    </row>
    <row r="752" spans="1:41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44"/>
        <v>1</v>
      </c>
      <c r="AM752" t="str">
        <f t="shared" si="45"/>
        <v>11-15 Years</v>
      </c>
      <c r="AN752" t="str">
        <f t="shared" si="46"/>
        <v>11-15 Years</v>
      </c>
      <c r="AO752" t="str">
        <f t="shared" si="47"/>
        <v>36-45 years</v>
      </c>
    </row>
    <row r="753" spans="1:41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44"/>
        <v>1</v>
      </c>
      <c r="AM753" t="str">
        <f t="shared" si="45"/>
        <v>16-20 Years</v>
      </c>
      <c r="AN753" t="str">
        <f t="shared" si="46"/>
        <v>0-2 Years</v>
      </c>
      <c r="AO753" t="str">
        <f t="shared" si="47"/>
        <v>46-55 Years</v>
      </c>
    </row>
    <row r="754" spans="1:41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44"/>
        <v>1</v>
      </c>
      <c r="AM754" t="str">
        <f t="shared" si="45"/>
        <v>16-20 Years</v>
      </c>
      <c r="AN754" t="str">
        <f t="shared" si="46"/>
        <v>11-15 Years</v>
      </c>
      <c r="AO754" t="str">
        <f t="shared" si="47"/>
        <v>36-45 years</v>
      </c>
    </row>
    <row r="755" spans="1:41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44"/>
        <v>1</v>
      </c>
      <c r="AM755" t="str">
        <f t="shared" si="45"/>
        <v>21+ Years</v>
      </c>
      <c r="AN755" t="str">
        <f t="shared" si="46"/>
        <v>0-2 Years</v>
      </c>
      <c r="AO755" t="str">
        <f t="shared" si="47"/>
        <v>36-45 years</v>
      </c>
    </row>
    <row r="756" spans="1:41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44"/>
        <v>1</v>
      </c>
      <c r="AM756" t="str">
        <f t="shared" si="45"/>
        <v>0-2 Years</v>
      </c>
      <c r="AN756" t="str">
        <f t="shared" si="46"/>
        <v>0-2 Years</v>
      </c>
      <c r="AO756" t="str">
        <f t="shared" si="47"/>
        <v>26-35 years</v>
      </c>
    </row>
    <row r="757" spans="1:41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44"/>
        <v>1</v>
      </c>
      <c r="AM757" t="str">
        <f t="shared" si="45"/>
        <v>6-10 Years</v>
      </c>
      <c r="AN757" t="str">
        <f t="shared" si="46"/>
        <v>0-2 Years</v>
      </c>
      <c r="AO757" t="str">
        <f t="shared" si="47"/>
        <v>36-45 years</v>
      </c>
    </row>
    <row r="758" spans="1:41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44"/>
        <v>1</v>
      </c>
      <c r="AM758" t="str">
        <f t="shared" si="45"/>
        <v>6-10 Years</v>
      </c>
      <c r="AN758" t="str">
        <f t="shared" si="46"/>
        <v>6-10 Years</v>
      </c>
      <c r="AO758" t="str">
        <f t="shared" si="47"/>
        <v>26-35 years</v>
      </c>
    </row>
    <row r="759" spans="1:41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44"/>
        <v>1</v>
      </c>
      <c r="AM759" t="str">
        <f t="shared" si="45"/>
        <v>11-15 Years</v>
      </c>
      <c r="AN759" t="str">
        <f t="shared" si="46"/>
        <v>0-2 Years</v>
      </c>
      <c r="AO759" t="str">
        <f t="shared" si="47"/>
        <v>26-35 years</v>
      </c>
    </row>
    <row r="760" spans="1:41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44"/>
        <v>1</v>
      </c>
      <c r="AM760" t="str">
        <f t="shared" si="45"/>
        <v>6-10 Years</v>
      </c>
      <c r="AN760" t="str">
        <f t="shared" si="46"/>
        <v>0-2 Years</v>
      </c>
      <c r="AO760" t="str">
        <f t="shared" si="47"/>
        <v>56+ years</v>
      </c>
    </row>
    <row r="761" spans="1:41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44"/>
        <v>1</v>
      </c>
      <c r="AM761" t="str">
        <f t="shared" si="45"/>
        <v>6-10 Years</v>
      </c>
      <c r="AN761" t="str">
        <f t="shared" si="46"/>
        <v>0-2 Years</v>
      </c>
      <c r="AO761" t="str">
        <f t="shared" si="47"/>
        <v>36-45 years</v>
      </c>
    </row>
    <row r="762" spans="1:41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44"/>
        <v>1</v>
      </c>
      <c r="AM762" t="str">
        <f t="shared" si="45"/>
        <v>11-15 Years</v>
      </c>
      <c r="AN762" t="str">
        <f t="shared" si="46"/>
        <v>6-10 Years</v>
      </c>
      <c r="AO762" t="str">
        <f t="shared" si="47"/>
        <v>46-55 Years</v>
      </c>
    </row>
    <row r="763" spans="1:41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44"/>
        <v>1</v>
      </c>
      <c r="AM763" t="str">
        <f t="shared" si="45"/>
        <v>0-2 Years</v>
      </c>
      <c r="AN763" t="str">
        <f t="shared" si="46"/>
        <v>0-2 Years</v>
      </c>
      <c r="AO763" t="str">
        <f t="shared" si="47"/>
        <v>36-45 years</v>
      </c>
    </row>
    <row r="764" spans="1:41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44"/>
        <v>1</v>
      </c>
      <c r="AM764" t="str">
        <f t="shared" si="45"/>
        <v>3-5 Years</v>
      </c>
      <c r="AN764" t="str">
        <f t="shared" si="46"/>
        <v>0-2 Years</v>
      </c>
      <c r="AO764" t="str">
        <f t="shared" si="47"/>
        <v>26-35 years</v>
      </c>
    </row>
    <row r="765" spans="1:41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44"/>
        <v>1</v>
      </c>
      <c r="AM765" t="str">
        <f t="shared" si="45"/>
        <v>0-2 Years</v>
      </c>
      <c r="AN765" t="str">
        <f t="shared" si="46"/>
        <v>0-2 Years</v>
      </c>
      <c r="AO765" t="str">
        <f t="shared" si="47"/>
        <v>26-35 years</v>
      </c>
    </row>
    <row r="766" spans="1:41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44"/>
        <v>1</v>
      </c>
      <c r="AM766" t="str">
        <f t="shared" si="45"/>
        <v>0-2 Years</v>
      </c>
      <c r="AN766" t="str">
        <f t="shared" si="46"/>
        <v>0-2 Years</v>
      </c>
      <c r="AO766" t="str">
        <f t="shared" si="47"/>
        <v>26-35 years</v>
      </c>
    </row>
    <row r="767" spans="1:41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44"/>
        <v>1</v>
      </c>
      <c r="AM767" t="str">
        <f t="shared" si="45"/>
        <v>0-2 Years</v>
      </c>
      <c r="AN767" t="str">
        <f t="shared" si="46"/>
        <v>0-2 Years</v>
      </c>
      <c r="AO767" t="str">
        <f t="shared" si="47"/>
        <v>36-45 years</v>
      </c>
    </row>
    <row r="768" spans="1:41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44"/>
        <v>1</v>
      </c>
      <c r="AM768" t="str">
        <f t="shared" si="45"/>
        <v>6-10 Years</v>
      </c>
      <c r="AN768" t="str">
        <f t="shared" si="46"/>
        <v>6-10 Years</v>
      </c>
      <c r="AO768" t="str">
        <f t="shared" si="47"/>
        <v>46-55 Years</v>
      </c>
    </row>
    <row r="769" spans="1:41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44"/>
        <v>1</v>
      </c>
      <c r="AM769" t="str">
        <f t="shared" si="45"/>
        <v>3-5 Years</v>
      </c>
      <c r="AN769" t="str">
        <f t="shared" si="46"/>
        <v>0-2 Years</v>
      </c>
      <c r="AO769" t="str">
        <f t="shared" si="47"/>
        <v>36-45 years</v>
      </c>
    </row>
    <row r="770" spans="1:41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si="44"/>
        <v>1</v>
      </c>
      <c r="AM770" t="str">
        <f t="shared" si="45"/>
        <v>6-10 Years</v>
      </c>
      <c r="AN770" t="str">
        <f t="shared" si="46"/>
        <v>6-10 Years</v>
      </c>
      <c r="AO770" t="str">
        <f t="shared" si="47"/>
        <v>36-45 years</v>
      </c>
    </row>
    <row r="771" spans="1:41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ref="AJ771:AJ834" si="48">COUNTIFS($A$2:$A$1471,A771,$B$2:$B$1471,B771,$C$2:$C$1471,C771,$D$2:$D$1471,D771,$E$2:$E$1471,E771,$F$2:$F$1471,F771,$G$2:$G$1471,G771,$H$2:$H$1471,H771,$I$2:$I$1471,I771,$J$2:$J$1471,J771,$K$2:$K$1471,K771,$L$2:$L$1471,L771,$M$2:$M$1471,M771,$N$2:$N$1471,N771,$O$2:$O$1471,O771,$P$2:$P$1471,P771,$Q$2:$Q$1471,Q771,$R$2:$R$1471,R771,$S$2:$S$1471,S771,$T$2:$T$1471,T771,$U$2:$U$1471,U771,$V$2:$V$1471,V771,$W$2:$W$1471,W771,$X$2:$X$1471,X771,$Y$2:$Y$1471,Y771,$Z$2:$Z$1471,Z771,$AA$2:$AA$1471,AA771,$AB$2:$AB$1471,AB771,$AC$2:$AC$1471,AC771,$AD$2:$AD$1471,AD771,$AE$2:$AE$1471,AE771,$AF$2:$AF$1471,AF771,$AG$2:$AG$1471,AG771,$AH$2:$AH$1471,AH771,$AI$2:$AI$1471,AI771)</f>
        <v>1</v>
      </c>
      <c r="AM771" t="str">
        <f t="shared" ref="AM771:AM834" si="49">IF(AF771&lt;=2,"0-2 Years",IF(AF771&lt;=5,"3-5 Years",IF(AF771&lt;=10,"6-10 Years",IF(AF771&lt;=15,"11-15 Years",IF(AF771&lt;=20,"16-20 Years","21+ Years")))))</f>
        <v>3-5 Years</v>
      </c>
      <c r="AN771" t="str">
        <f t="shared" ref="AN771:AN834" si="50">IF(AH771&lt;=2,"0-2 Years",IF(AH771&lt;=5,"3-5 Years",IF(AH771&lt;=10,"6-10 Years","11-15 Years")))</f>
        <v>0-2 Years</v>
      </c>
      <c r="AO771" t="str">
        <f t="shared" ref="AO771:AO834" si="51">IF(A771&lt;=25,"18-25 years",IF(A771&lt;=35,"26-35 years",IF(A771&lt;=45,"36-45 years",IF(A771&lt;=55,"46-55 Years","56+ years"))))</f>
        <v>26-35 years</v>
      </c>
    </row>
    <row r="772" spans="1:41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48"/>
        <v>1</v>
      </c>
      <c r="AM772" t="str">
        <f t="shared" si="49"/>
        <v>0-2 Years</v>
      </c>
      <c r="AN772" t="str">
        <f t="shared" si="50"/>
        <v>0-2 Years</v>
      </c>
      <c r="AO772" t="str">
        <f t="shared" si="51"/>
        <v>46-55 Years</v>
      </c>
    </row>
    <row r="773" spans="1:41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48"/>
        <v>1</v>
      </c>
      <c r="AM773" t="str">
        <f t="shared" si="49"/>
        <v>6-10 Years</v>
      </c>
      <c r="AN773" t="str">
        <f t="shared" si="50"/>
        <v>6-10 Years</v>
      </c>
      <c r="AO773" t="str">
        <f t="shared" si="51"/>
        <v>46-55 Years</v>
      </c>
    </row>
    <row r="774" spans="1:41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48"/>
        <v>1</v>
      </c>
      <c r="AM774" t="str">
        <f t="shared" si="49"/>
        <v>3-5 Years</v>
      </c>
      <c r="AN774" t="str">
        <f t="shared" si="50"/>
        <v>0-2 Years</v>
      </c>
      <c r="AO774" t="str">
        <f t="shared" si="51"/>
        <v>56+ years</v>
      </c>
    </row>
    <row r="775" spans="1:41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48"/>
        <v>1</v>
      </c>
      <c r="AM775" t="str">
        <f t="shared" si="49"/>
        <v>11-15 Years</v>
      </c>
      <c r="AN775" t="str">
        <f t="shared" si="50"/>
        <v>6-10 Years</v>
      </c>
      <c r="AO775" t="str">
        <f t="shared" si="51"/>
        <v>36-45 years</v>
      </c>
    </row>
    <row r="776" spans="1:41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48"/>
        <v>1</v>
      </c>
      <c r="AM776" t="str">
        <f t="shared" si="49"/>
        <v>6-10 Years</v>
      </c>
      <c r="AN776" t="str">
        <f t="shared" si="50"/>
        <v>6-10 Years</v>
      </c>
      <c r="AO776" t="str">
        <f t="shared" si="51"/>
        <v>46-55 Years</v>
      </c>
    </row>
    <row r="777" spans="1:41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48"/>
        <v>1</v>
      </c>
      <c r="AM777" t="str">
        <f t="shared" si="49"/>
        <v>0-2 Years</v>
      </c>
      <c r="AN777" t="str">
        <f t="shared" si="50"/>
        <v>0-2 Years</v>
      </c>
      <c r="AO777" t="str">
        <f t="shared" si="51"/>
        <v>36-45 years</v>
      </c>
    </row>
    <row r="778" spans="1:41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48"/>
        <v>1</v>
      </c>
      <c r="AM778" t="str">
        <f t="shared" si="49"/>
        <v>0-2 Years</v>
      </c>
      <c r="AN778" t="str">
        <f t="shared" si="50"/>
        <v>0-2 Years</v>
      </c>
      <c r="AO778" t="str">
        <f t="shared" si="51"/>
        <v>18-25 years</v>
      </c>
    </row>
    <row r="779" spans="1:41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48"/>
        <v>1</v>
      </c>
      <c r="AM779" t="str">
        <f t="shared" si="49"/>
        <v>0-2 Years</v>
      </c>
      <c r="AN779" t="str">
        <f t="shared" si="50"/>
        <v>0-2 Years</v>
      </c>
      <c r="AO779" t="str">
        <f t="shared" si="51"/>
        <v>18-25 years</v>
      </c>
    </row>
    <row r="780" spans="1:41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48"/>
        <v>1</v>
      </c>
      <c r="AM780" t="str">
        <f t="shared" si="49"/>
        <v>16-20 Years</v>
      </c>
      <c r="AN780" t="str">
        <f t="shared" si="50"/>
        <v>0-2 Years</v>
      </c>
      <c r="AO780" t="str">
        <f t="shared" si="51"/>
        <v>46-55 Years</v>
      </c>
    </row>
    <row r="781" spans="1:41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48"/>
        <v>1</v>
      </c>
      <c r="AM781" t="str">
        <f t="shared" si="49"/>
        <v>6-10 Years</v>
      </c>
      <c r="AN781" t="str">
        <f t="shared" si="50"/>
        <v>0-2 Years</v>
      </c>
      <c r="AO781" t="str">
        <f t="shared" si="51"/>
        <v>46-55 Years</v>
      </c>
    </row>
    <row r="782" spans="1:41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48"/>
        <v>1</v>
      </c>
      <c r="AM782" t="str">
        <f t="shared" si="49"/>
        <v>6-10 Years</v>
      </c>
      <c r="AN782" t="str">
        <f t="shared" si="50"/>
        <v>0-2 Years</v>
      </c>
      <c r="AO782" t="str">
        <f t="shared" si="51"/>
        <v>26-35 years</v>
      </c>
    </row>
    <row r="783" spans="1:41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48"/>
        <v>1</v>
      </c>
      <c r="AM783" t="str">
        <f t="shared" si="49"/>
        <v>3-5 Years</v>
      </c>
      <c r="AN783" t="str">
        <f t="shared" si="50"/>
        <v>0-2 Years</v>
      </c>
      <c r="AO783" t="str">
        <f t="shared" si="51"/>
        <v>26-35 years</v>
      </c>
    </row>
    <row r="784" spans="1:41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48"/>
        <v>1</v>
      </c>
      <c r="AM784" t="str">
        <f t="shared" si="49"/>
        <v>6-10 Years</v>
      </c>
      <c r="AN784" t="str">
        <f t="shared" si="50"/>
        <v>0-2 Years</v>
      </c>
      <c r="AO784" t="str">
        <f t="shared" si="51"/>
        <v>26-35 years</v>
      </c>
    </row>
    <row r="785" spans="1:41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48"/>
        <v>1</v>
      </c>
      <c r="AM785" t="str">
        <f t="shared" si="49"/>
        <v>6-10 Years</v>
      </c>
      <c r="AN785" t="str">
        <f t="shared" si="50"/>
        <v>0-2 Years</v>
      </c>
      <c r="AO785" t="str">
        <f t="shared" si="51"/>
        <v>36-45 years</v>
      </c>
    </row>
    <row r="786" spans="1:41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48"/>
        <v>1</v>
      </c>
      <c r="AM786" t="str">
        <f t="shared" si="49"/>
        <v>16-20 Years</v>
      </c>
      <c r="AN786" t="str">
        <f t="shared" si="50"/>
        <v>0-2 Years</v>
      </c>
      <c r="AO786" t="str">
        <f t="shared" si="51"/>
        <v>36-45 years</v>
      </c>
    </row>
    <row r="787" spans="1:41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48"/>
        <v>1</v>
      </c>
      <c r="AM787" t="str">
        <f t="shared" si="49"/>
        <v>11-15 Years</v>
      </c>
      <c r="AN787" t="str">
        <f t="shared" si="50"/>
        <v>11-15 Years</v>
      </c>
      <c r="AO787" t="str">
        <f t="shared" si="51"/>
        <v>36-45 years</v>
      </c>
    </row>
    <row r="788" spans="1:41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48"/>
        <v>1</v>
      </c>
      <c r="AM788" t="str">
        <f t="shared" si="49"/>
        <v>3-5 Years</v>
      </c>
      <c r="AN788" t="str">
        <f t="shared" si="50"/>
        <v>0-2 Years</v>
      </c>
      <c r="AO788" t="str">
        <f t="shared" si="51"/>
        <v>26-35 years</v>
      </c>
    </row>
    <row r="789" spans="1:41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48"/>
        <v>1</v>
      </c>
      <c r="AM789" t="str">
        <f t="shared" si="49"/>
        <v>3-5 Years</v>
      </c>
      <c r="AN789" t="str">
        <f t="shared" si="50"/>
        <v>0-2 Years</v>
      </c>
      <c r="AO789" t="str">
        <f t="shared" si="51"/>
        <v>46-55 Years</v>
      </c>
    </row>
    <row r="790" spans="1:41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48"/>
        <v>1</v>
      </c>
      <c r="AM790" t="str">
        <f t="shared" si="49"/>
        <v>6-10 Years</v>
      </c>
      <c r="AN790" t="str">
        <f t="shared" si="50"/>
        <v>0-2 Years</v>
      </c>
      <c r="AO790" t="str">
        <f t="shared" si="51"/>
        <v>26-35 years</v>
      </c>
    </row>
    <row r="791" spans="1:41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48"/>
        <v>1</v>
      </c>
      <c r="AM791" t="str">
        <f t="shared" si="49"/>
        <v>16-20 Years</v>
      </c>
      <c r="AN791" t="str">
        <f t="shared" si="50"/>
        <v>3-5 Years</v>
      </c>
      <c r="AO791" t="str">
        <f t="shared" si="51"/>
        <v>36-45 years</v>
      </c>
    </row>
    <row r="792" spans="1:41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48"/>
        <v>1</v>
      </c>
      <c r="AM792" t="str">
        <f t="shared" si="49"/>
        <v>3-5 Years</v>
      </c>
      <c r="AN792" t="str">
        <f t="shared" si="50"/>
        <v>0-2 Years</v>
      </c>
      <c r="AO792" t="str">
        <f t="shared" si="51"/>
        <v>26-35 years</v>
      </c>
    </row>
    <row r="793" spans="1:41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48"/>
        <v>1</v>
      </c>
      <c r="AM793" t="str">
        <f t="shared" si="49"/>
        <v>6-10 Years</v>
      </c>
      <c r="AN793" t="str">
        <f t="shared" si="50"/>
        <v>3-5 Years</v>
      </c>
      <c r="AO793" t="str">
        <f t="shared" si="51"/>
        <v>26-35 years</v>
      </c>
    </row>
    <row r="794" spans="1:41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48"/>
        <v>1</v>
      </c>
      <c r="AM794" t="str">
        <f t="shared" si="49"/>
        <v>11-15 Years</v>
      </c>
      <c r="AN794" t="str">
        <f t="shared" si="50"/>
        <v>3-5 Years</v>
      </c>
      <c r="AO794" t="str">
        <f t="shared" si="51"/>
        <v>26-35 years</v>
      </c>
    </row>
    <row r="795" spans="1:41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48"/>
        <v>1</v>
      </c>
      <c r="AM795" t="str">
        <f t="shared" si="49"/>
        <v>3-5 Years</v>
      </c>
      <c r="AN795" t="str">
        <f t="shared" si="50"/>
        <v>0-2 Years</v>
      </c>
      <c r="AO795" t="str">
        <f t="shared" si="51"/>
        <v>26-35 years</v>
      </c>
    </row>
    <row r="796" spans="1:41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48"/>
        <v>1</v>
      </c>
      <c r="AM796" t="str">
        <f t="shared" si="49"/>
        <v>6-10 Years</v>
      </c>
      <c r="AN796" t="str">
        <f t="shared" si="50"/>
        <v>0-2 Years</v>
      </c>
      <c r="AO796" t="str">
        <f t="shared" si="51"/>
        <v>26-35 years</v>
      </c>
    </row>
    <row r="797" spans="1:41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48"/>
        <v>1</v>
      </c>
      <c r="AM797" t="str">
        <f t="shared" si="49"/>
        <v>0-2 Years</v>
      </c>
      <c r="AN797" t="str">
        <f t="shared" si="50"/>
        <v>0-2 Years</v>
      </c>
      <c r="AO797" t="str">
        <f t="shared" si="51"/>
        <v>36-45 years</v>
      </c>
    </row>
    <row r="798" spans="1:41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48"/>
        <v>1</v>
      </c>
      <c r="AM798" t="str">
        <f t="shared" si="49"/>
        <v>6-10 Years</v>
      </c>
      <c r="AN798" t="str">
        <f t="shared" si="50"/>
        <v>3-5 Years</v>
      </c>
      <c r="AO798" t="str">
        <f t="shared" si="51"/>
        <v>18-25 years</v>
      </c>
    </row>
    <row r="799" spans="1:41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48"/>
        <v>1</v>
      </c>
      <c r="AM799" t="str">
        <f t="shared" si="49"/>
        <v>0-2 Years</v>
      </c>
      <c r="AN799" t="str">
        <f t="shared" si="50"/>
        <v>0-2 Years</v>
      </c>
      <c r="AO799" t="str">
        <f t="shared" si="51"/>
        <v>26-35 years</v>
      </c>
    </row>
    <row r="800" spans="1:41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48"/>
        <v>1</v>
      </c>
      <c r="AM800" t="str">
        <f t="shared" si="49"/>
        <v>0-2 Years</v>
      </c>
      <c r="AN800" t="str">
        <f t="shared" si="50"/>
        <v>0-2 Years</v>
      </c>
      <c r="AO800" t="str">
        <f t="shared" si="51"/>
        <v>26-35 years</v>
      </c>
    </row>
    <row r="801" spans="1:41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48"/>
        <v>1</v>
      </c>
      <c r="AM801" t="str">
        <f t="shared" si="49"/>
        <v>21+ Years</v>
      </c>
      <c r="AN801" t="str">
        <f t="shared" si="50"/>
        <v>11-15 Years</v>
      </c>
      <c r="AO801" t="str">
        <f t="shared" si="51"/>
        <v>36-45 years</v>
      </c>
    </row>
    <row r="802" spans="1:41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48"/>
        <v>1</v>
      </c>
      <c r="AM802" t="str">
        <f t="shared" si="49"/>
        <v>0-2 Years</v>
      </c>
      <c r="AN802" t="str">
        <f t="shared" si="50"/>
        <v>0-2 Years</v>
      </c>
      <c r="AO802" t="str">
        <f t="shared" si="51"/>
        <v>26-35 years</v>
      </c>
    </row>
    <row r="803" spans="1:41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48"/>
        <v>1</v>
      </c>
      <c r="AM803" t="str">
        <f t="shared" si="49"/>
        <v>0-2 Years</v>
      </c>
      <c r="AN803" t="str">
        <f t="shared" si="50"/>
        <v>0-2 Years</v>
      </c>
      <c r="AO803" t="str">
        <f t="shared" si="51"/>
        <v>46-55 Years</v>
      </c>
    </row>
    <row r="804" spans="1:41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48"/>
        <v>1</v>
      </c>
      <c r="AM804" t="str">
        <f t="shared" si="49"/>
        <v>3-5 Years</v>
      </c>
      <c r="AN804" t="str">
        <f t="shared" si="50"/>
        <v>0-2 Years</v>
      </c>
      <c r="AO804" t="str">
        <f t="shared" si="51"/>
        <v>26-35 years</v>
      </c>
    </row>
    <row r="805" spans="1:41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48"/>
        <v>1</v>
      </c>
      <c r="AM805" t="str">
        <f t="shared" si="49"/>
        <v>0-2 Years</v>
      </c>
      <c r="AN805" t="str">
        <f t="shared" si="50"/>
        <v>0-2 Years</v>
      </c>
      <c r="AO805" t="str">
        <f t="shared" si="51"/>
        <v>26-35 years</v>
      </c>
    </row>
    <row r="806" spans="1:41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48"/>
        <v>1</v>
      </c>
      <c r="AM806" t="str">
        <f t="shared" si="49"/>
        <v>3-5 Years</v>
      </c>
      <c r="AN806" t="str">
        <f t="shared" si="50"/>
        <v>0-2 Years</v>
      </c>
      <c r="AO806" t="str">
        <f t="shared" si="51"/>
        <v>46-55 Years</v>
      </c>
    </row>
    <row r="807" spans="1:41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48"/>
        <v>1</v>
      </c>
      <c r="AM807" t="str">
        <f t="shared" si="49"/>
        <v>11-15 Years</v>
      </c>
      <c r="AN807" t="str">
        <f t="shared" si="50"/>
        <v>3-5 Years</v>
      </c>
      <c r="AO807" t="str">
        <f t="shared" si="51"/>
        <v>36-45 years</v>
      </c>
    </row>
    <row r="808" spans="1:41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48"/>
        <v>1</v>
      </c>
      <c r="AM808" t="str">
        <f t="shared" si="49"/>
        <v>6-10 Years</v>
      </c>
      <c r="AN808" t="str">
        <f t="shared" si="50"/>
        <v>3-5 Years</v>
      </c>
      <c r="AO808" t="str">
        <f t="shared" si="51"/>
        <v>46-55 Years</v>
      </c>
    </row>
    <row r="809" spans="1:41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48"/>
        <v>1</v>
      </c>
      <c r="AM809" t="str">
        <f t="shared" si="49"/>
        <v>6-10 Years</v>
      </c>
      <c r="AN809" t="str">
        <f t="shared" si="50"/>
        <v>0-2 Years</v>
      </c>
      <c r="AO809" t="str">
        <f t="shared" si="51"/>
        <v>36-45 years</v>
      </c>
    </row>
    <row r="810" spans="1:41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48"/>
        <v>1</v>
      </c>
      <c r="AM810" t="str">
        <f t="shared" si="49"/>
        <v>6-10 Years</v>
      </c>
      <c r="AN810" t="str">
        <f t="shared" si="50"/>
        <v>0-2 Years</v>
      </c>
      <c r="AO810" t="str">
        <f t="shared" si="51"/>
        <v>26-35 years</v>
      </c>
    </row>
    <row r="811" spans="1:41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48"/>
        <v>1</v>
      </c>
      <c r="AM811" t="str">
        <f t="shared" si="49"/>
        <v>6-10 Years</v>
      </c>
      <c r="AN811" t="str">
        <f t="shared" si="50"/>
        <v>0-2 Years</v>
      </c>
      <c r="AO811" t="str">
        <f t="shared" si="51"/>
        <v>26-35 years</v>
      </c>
    </row>
    <row r="812" spans="1:41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48"/>
        <v>1</v>
      </c>
      <c r="AM812" t="str">
        <f t="shared" si="49"/>
        <v>11-15 Years</v>
      </c>
      <c r="AN812" t="str">
        <f t="shared" si="50"/>
        <v>3-5 Years</v>
      </c>
      <c r="AO812" t="str">
        <f t="shared" si="51"/>
        <v>46-55 Years</v>
      </c>
    </row>
    <row r="813" spans="1:41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48"/>
        <v>1</v>
      </c>
      <c r="AM813" t="str">
        <f t="shared" si="49"/>
        <v>0-2 Years</v>
      </c>
      <c r="AN813" t="str">
        <f t="shared" si="50"/>
        <v>0-2 Years</v>
      </c>
      <c r="AO813" t="str">
        <f t="shared" si="51"/>
        <v>36-45 years</v>
      </c>
    </row>
    <row r="814" spans="1:41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48"/>
        <v>1</v>
      </c>
      <c r="AM814" t="str">
        <f t="shared" si="49"/>
        <v>6-10 Years</v>
      </c>
      <c r="AN814" t="str">
        <f t="shared" si="50"/>
        <v>0-2 Years</v>
      </c>
      <c r="AO814" t="str">
        <f t="shared" si="51"/>
        <v>36-45 years</v>
      </c>
    </row>
    <row r="815" spans="1:41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48"/>
        <v>1</v>
      </c>
      <c r="AM815" t="str">
        <f t="shared" si="49"/>
        <v>16-20 Years</v>
      </c>
      <c r="AN815" t="str">
        <f t="shared" si="50"/>
        <v>11-15 Years</v>
      </c>
      <c r="AO815" t="str">
        <f t="shared" si="51"/>
        <v>36-45 years</v>
      </c>
    </row>
    <row r="816" spans="1:41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48"/>
        <v>1</v>
      </c>
      <c r="AM816" t="str">
        <f t="shared" si="49"/>
        <v>16-20 Years</v>
      </c>
      <c r="AN816" t="str">
        <f t="shared" si="50"/>
        <v>3-5 Years</v>
      </c>
      <c r="AO816" t="str">
        <f t="shared" si="51"/>
        <v>36-45 years</v>
      </c>
    </row>
    <row r="817" spans="1:41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48"/>
        <v>1</v>
      </c>
      <c r="AM817" t="str">
        <f t="shared" si="49"/>
        <v>0-2 Years</v>
      </c>
      <c r="AN817" t="str">
        <f t="shared" si="50"/>
        <v>0-2 Years</v>
      </c>
      <c r="AO817" t="str">
        <f t="shared" si="51"/>
        <v>18-25 years</v>
      </c>
    </row>
    <row r="818" spans="1:41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48"/>
        <v>1</v>
      </c>
      <c r="AM818" t="str">
        <f t="shared" si="49"/>
        <v>3-5 Years</v>
      </c>
      <c r="AN818" t="str">
        <f t="shared" si="50"/>
        <v>0-2 Years</v>
      </c>
      <c r="AO818" t="str">
        <f t="shared" si="51"/>
        <v>36-45 years</v>
      </c>
    </row>
    <row r="819" spans="1:41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48"/>
        <v>1</v>
      </c>
      <c r="AM819" t="str">
        <f t="shared" si="49"/>
        <v>11-15 Years</v>
      </c>
      <c r="AN819" t="str">
        <f t="shared" si="50"/>
        <v>0-2 Years</v>
      </c>
      <c r="AO819" t="str">
        <f t="shared" si="51"/>
        <v>36-45 years</v>
      </c>
    </row>
    <row r="820" spans="1:41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48"/>
        <v>1</v>
      </c>
      <c r="AM820" t="str">
        <f t="shared" si="49"/>
        <v>0-2 Years</v>
      </c>
      <c r="AN820" t="str">
        <f t="shared" si="50"/>
        <v>0-2 Years</v>
      </c>
      <c r="AO820" t="str">
        <f t="shared" si="51"/>
        <v>26-35 years</v>
      </c>
    </row>
    <row r="821" spans="1:41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48"/>
        <v>1</v>
      </c>
      <c r="AM821" t="str">
        <f t="shared" si="49"/>
        <v>3-5 Years</v>
      </c>
      <c r="AN821" t="str">
        <f t="shared" si="50"/>
        <v>0-2 Years</v>
      </c>
      <c r="AO821" t="str">
        <f t="shared" si="51"/>
        <v>26-35 years</v>
      </c>
    </row>
    <row r="822" spans="1:41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48"/>
        <v>1</v>
      </c>
      <c r="AM822" t="str">
        <f t="shared" si="49"/>
        <v>3-5 Years</v>
      </c>
      <c r="AN822" t="str">
        <f t="shared" si="50"/>
        <v>0-2 Years</v>
      </c>
      <c r="AO822" t="str">
        <f t="shared" si="51"/>
        <v>26-35 years</v>
      </c>
    </row>
    <row r="823" spans="1:41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48"/>
        <v>1</v>
      </c>
      <c r="AM823" t="str">
        <f t="shared" si="49"/>
        <v>6-10 Years</v>
      </c>
      <c r="AN823" t="str">
        <f t="shared" si="50"/>
        <v>0-2 Years</v>
      </c>
      <c r="AO823" t="str">
        <f t="shared" si="51"/>
        <v>46-55 Years</v>
      </c>
    </row>
    <row r="824" spans="1:41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48"/>
        <v>1</v>
      </c>
      <c r="AM824" t="str">
        <f t="shared" si="49"/>
        <v>3-5 Years</v>
      </c>
      <c r="AN824" t="str">
        <f t="shared" si="50"/>
        <v>0-2 Years</v>
      </c>
      <c r="AO824" t="str">
        <f t="shared" si="51"/>
        <v>26-35 years</v>
      </c>
    </row>
    <row r="825" spans="1:41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48"/>
        <v>1</v>
      </c>
      <c r="AM825" t="str">
        <f t="shared" si="49"/>
        <v>6-10 Years</v>
      </c>
      <c r="AN825" t="str">
        <f t="shared" si="50"/>
        <v>0-2 Years</v>
      </c>
      <c r="AO825" t="str">
        <f t="shared" si="51"/>
        <v>26-35 years</v>
      </c>
    </row>
    <row r="826" spans="1:41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48"/>
        <v>1</v>
      </c>
      <c r="AM826" t="str">
        <f t="shared" si="49"/>
        <v>0-2 Years</v>
      </c>
      <c r="AN826" t="str">
        <f t="shared" si="50"/>
        <v>0-2 Years</v>
      </c>
      <c r="AO826" t="str">
        <f t="shared" si="51"/>
        <v>36-45 years</v>
      </c>
    </row>
    <row r="827" spans="1:41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48"/>
        <v>1</v>
      </c>
      <c r="AM827" t="str">
        <f t="shared" si="49"/>
        <v>6-10 Years</v>
      </c>
      <c r="AN827" t="str">
        <f t="shared" si="50"/>
        <v>0-2 Years</v>
      </c>
      <c r="AO827" t="str">
        <f t="shared" si="51"/>
        <v>26-35 years</v>
      </c>
    </row>
    <row r="828" spans="1:41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48"/>
        <v>1</v>
      </c>
      <c r="AM828" t="str">
        <f t="shared" si="49"/>
        <v>6-10 Years</v>
      </c>
      <c r="AN828" t="str">
        <f t="shared" si="50"/>
        <v>3-5 Years</v>
      </c>
      <c r="AO828" t="str">
        <f t="shared" si="51"/>
        <v>36-45 years</v>
      </c>
    </row>
    <row r="829" spans="1:41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48"/>
        <v>1</v>
      </c>
      <c r="AM829" t="str">
        <f t="shared" si="49"/>
        <v>3-5 Years</v>
      </c>
      <c r="AN829" t="str">
        <f t="shared" si="50"/>
        <v>0-2 Years</v>
      </c>
      <c r="AO829" t="str">
        <f t="shared" si="51"/>
        <v>26-35 years</v>
      </c>
    </row>
    <row r="830" spans="1:41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48"/>
        <v>1</v>
      </c>
      <c r="AM830" t="str">
        <f t="shared" si="49"/>
        <v>0-2 Years</v>
      </c>
      <c r="AN830" t="str">
        <f t="shared" si="50"/>
        <v>0-2 Years</v>
      </c>
      <c r="AO830" t="str">
        <f t="shared" si="51"/>
        <v>18-25 years</v>
      </c>
    </row>
    <row r="831" spans="1:41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48"/>
        <v>1</v>
      </c>
      <c r="AM831" t="str">
        <f t="shared" si="49"/>
        <v>3-5 Years</v>
      </c>
      <c r="AN831" t="str">
        <f t="shared" si="50"/>
        <v>0-2 Years</v>
      </c>
      <c r="AO831" t="str">
        <f t="shared" si="51"/>
        <v>26-35 years</v>
      </c>
    </row>
    <row r="832" spans="1:41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48"/>
        <v>1</v>
      </c>
      <c r="AM832" t="str">
        <f t="shared" si="49"/>
        <v>0-2 Years</v>
      </c>
      <c r="AN832" t="str">
        <f t="shared" si="50"/>
        <v>0-2 Years</v>
      </c>
      <c r="AO832" t="str">
        <f t="shared" si="51"/>
        <v>36-45 years</v>
      </c>
    </row>
    <row r="833" spans="1:41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48"/>
        <v>1</v>
      </c>
      <c r="AM833" t="str">
        <f t="shared" si="49"/>
        <v>0-2 Years</v>
      </c>
      <c r="AN833" t="str">
        <f t="shared" si="50"/>
        <v>0-2 Years</v>
      </c>
      <c r="AO833" t="str">
        <f t="shared" si="51"/>
        <v>26-35 years</v>
      </c>
    </row>
    <row r="834" spans="1:41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si="48"/>
        <v>1</v>
      </c>
      <c r="AM834" t="str">
        <f t="shared" si="49"/>
        <v>6-10 Years</v>
      </c>
      <c r="AN834" t="str">
        <f t="shared" si="50"/>
        <v>0-2 Years</v>
      </c>
      <c r="AO834" t="str">
        <f t="shared" si="51"/>
        <v>36-45 years</v>
      </c>
    </row>
    <row r="835" spans="1:41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ref="AJ835:AJ898" si="52">COUNTIFS($A$2:$A$1471,A835,$B$2:$B$1471,B835,$C$2:$C$1471,C835,$D$2:$D$1471,D835,$E$2:$E$1471,E835,$F$2:$F$1471,F835,$G$2:$G$1471,G835,$H$2:$H$1471,H835,$I$2:$I$1471,I835,$J$2:$J$1471,J835,$K$2:$K$1471,K835,$L$2:$L$1471,L835,$M$2:$M$1471,M835,$N$2:$N$1471,N835,$O$2:$O$1471,O835,$P$2:$P$1471,P835,$Q$2:$Q$1471,Q835,$R$2:$R$1471,R835,$S$2:$S$1471,S835,$T$2:$T$1471,T835,$U$2:$U$1471,U835,$V$2:$V$1471,V835,$W$2:$W$1471,W835,$X$2:$X$1471,X835,$Y$2:$Y$1471,Y835,$Z$2:$Z$1471,Z835,$AA$2:$AA$1471,AA835,$AB$2:$AB$1471,AB835,$AC$2:$AC$1471,AC835,$AD$2:$AD$1471,AD835,$AE$2:$AE$1471,AE835,$AF$2:$AF$1471,AF835,$AG$2:$AG$1471,AG835,$AH$2:$AH$1471,AH835,$AI$2:$AI$1471,AI835)</f>
        <v>1</v>
      </c>
      <c r="AM835" t="str">
        <f t="shared" ref="AM835:AM898" si="53">IF(AF835&lt;=2,"0-2 Years",IF(AF835&lt;=5,"3-5 Years",IF(AF835&lt;=10,"6-10 Years",IF(AF835&lt;=15,"11-15 Years",IF(AF835&lt;=20,"16-20 Years","21+ Years")))))</f>
        <v>3-5 Years</v>
      </c>
      <c r="AN835" t="str">
        <f t="shared" ref="AN835:AN898" si="54">IF(AH835&lt;=2,"0-2 Years",IF(AH835&lt;=5,"3-5 Years",IF(AH835&lt;=10,"6-10 Years","11-15 Years")))</f>
        <v>0-2 Years</v>
      </c>
      <c r="AO835" t="str">
        <f t="shared" ref="AO835:AO898" si="55">IF(A835&lt;=25,"18-25 years",IF(A835&lt;=35,"26-35 years",IF(A835&lt;=45,"36-45 years",IF(A835&lt;=55,"46-55 Years","56+ years"))))</f>
        <v>26-35 years</v>
      </c>
    </row>
    <row r="836" spans="1:41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52"/>
        <v>1</v>
      </c>
      <c r="AM836" t="str">
        <f t="shared" si="53"/>
        <v>6-10 Years</v>
      </c>
      <c r="AN836" t="str">
        <f t="shared" si="54"/>
        <v>0-2 Years</v>
      </c>
      <c r="AO836" t="str">
        <f t="shared" si="55"/>
        <v>26-35 years</v>
      </c>
    </row>
    <row r="837" spans="1:41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52"/>
        <v>1</v>
      </c>
      <c r="AM837" t="str">
        <f t="shared" si="53"/>
        <v>3-5 Years</v>
      </c>
      <c r="AN837" t="str">
        <f t="shared" si="54"/>
        <v>0-2 Years</v>
      </c>
      <c r="AO837" t="str">
        <f t="shared" si="55"/>
        <v>26-35 years</v>
      </c>
    </row>
    <row r="838" spans="1:41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52"/>
        <v>1</v>
      </c>
      <c r="AM838" t="str">
        <f t="shared" si="53"/>
        <v>11-15 Years</v>
      </c>
      <c r="AN838" t="str">
        <f t="shared" si="54"/>
        <v>3-5 Years</v>
      </c>
      <c r="AO838" t="str">
        <f t="shared" si="55"/>
        <v>26-35 years</v>
      </c>
    </row>
    <row r="839" spans="1:41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52"/>
        <v>1</v>
      </c>
      <c r="AM839" t="str">
        <f t="shared" si="53"/>
        <v>16-20 Years</v>
      </c>
      <c r="AN839" t="str">
        <f t="shared" si="54"/>
        <v>0-2 Years</v>
      </c>
      <c r="AO839" t="str">
        <f t="shared" si="55"/>
        <v>36-45 years</v>
      </c>
    </row>
    <row r="840" spans="1:41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52"/>
        <v>1</v>
      </c>
      <c r="AM840" t="str">
        <f t="shared" si="53"/>
        <v>21+ Years</v>
      </c>
      <c r="AN840" t="str">
        <f t="shared" si="54"/>
        <v>11-15 Years</v>
      </c>
      <c r="AO840" t="str">
        <f t="shared" si="55"/>
        <v>36-45 years</v>
      </c>
    </row>
    <row r="841" spans="1:41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52"/>
        <v>1</v>
      </c>
      <c r="AM841" t="str">
        <f t="shared" si="53"/>
        <v>6-10 Years</v>
      </c>
      <c r="AN841" t="str">
        <f t="shared" si="54"/>
        <v>0-2 Years</v>
      </c>
      <c r="AO841" t="str">
        <f t="shared" si="55"/>
        <v>36-45 years</v>
      </c>
    </row>
    <row r="842" spans="1:41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52"/>
        <v>1</v>
      </c>
      <c r="AM842" t="str">
        <f t="shared" si="53"/>
        <v>6-10 Years</v>
      </c>
      <c r="AN842" t="str">
        <f t="shared" si="54"/>
        <v>0-2 Years</v>
      </c>
      <c r="AO842" t="str">
        <f t="shared" si="55"/>
        <v>26-35 years</v>
      </c>
    </row>
    <row r="843" spans="1:41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52"/>
        <v>1</v>
      </c>
      <c r="AM843" t="str">
        <f t="shared" si="53"/>
        <v>3-5 Years</v>
      </c>
      <c r="AN843" t="str">
        <f t="shared" si="54"/>
        <v>0-2 Years</v>
      </c>
      <c r="AO843" t="str">
        <f t="shared" si="55"/>
        <v>18-25 years</v>
      </c>
    </row>
    <row r="844" spans="1:41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52"/>
        <v>1</v>
      </c>
      <c r="AM844" t="str">
        <f t="shared" si="53"/>
        <v>0-2 Years</v>
      </c>
      <c r="AN844" t="str">
        <f t="shared" si="54"/>
        <v>0-2 Years</v>
      </c>
      <c r="AO844" t="str">
        <f t="shared" si="55"/>
        <v>26-35 years</v>
      </c>
    </row>
    <row r="845" spans="1:41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52"/>
        <v>1</v>
      </c>
      <c r="AM845" t="str">
        <f t="shared" si="53"/>
        <v>6-10 Years</v>
      </c>
      <c r="AN845" t="str">
        <f t="shared" si="54"/>
        <v>0-2 Years</v>
      </c>
      <c r="AO845" t="str">
        <f t="shared" si="55"/>
        <v>26-35 years</v>
      </c>
    </row>
    <row r="846" spans="1:41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52"/>
        <v>1</v>
      </c>
      <c r="AM846" t="str">
        <f t="shared" si="53"/>
        <v>6-10 Years</v>
      </c>
      <c r="AN846" t="str">
        <f t="shared" si="54"/>
        <v>0-2 Years</v>
      </c>
      <c r="AO846" t="str">
        <f t="shared" si="55"/>
        <v>26-35 years</v>
      </c>
    </row>
    <row r="847" spans="1:41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52"/>
        <v>1</v>
      </c>
      <c r="AM847" t="str">
        <f t="shared" si="53"/>
        <v>0-2 Years</v>
      </c>
      <c r="AN847" t="str">
        <f t="shared" si="54"/>
        <v>0-2 Years</v>
      </c>
      <c r="AO847" t="str">
        <f t="shared" si="55"/>
        <v>36-45 years</v>
      </c>
    </row>
    <row r="848" spans="1:41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52"/>
        <v>1</v>
      </c>
      <c r="AM848" t="str">
        <f t="shared" si="53"/>
        <v>6-10 Years</v>
      </c>
      <c r="AN848" t="str">
        <f t="shared" si="54"/>
        <v>6-10 Years</v>
      </c>
      <c r="AO848" t="str">
        <f t="shared" si="55"/>
        <v>26-35 years</v>
      </c>
    </row>
    <row r="849" spans="1:41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52"/>
        <v>1</v>
      </c>
      <c r="AM849" t="str">
        <f t="shared" si="53"/>
        <v>11-15 Years</v>
      </c>
      <c r="AN849" t="str">
        <f t="shared" si="54"/>
        <v>3-5 Years</v>
      </c>
      <c r="AO849" t="str">
        <f t="shared" si="55"/>
        <v>26-35 years</v>
      </c>
    </row>
    <row r="850" spans="1:41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52"/>
        <v>1</v>
      </c>
      <c r="AM850" t="str">
        <f t="shared" si="53"/>
        <v>0-2 Years</v>
      </c>
      <c r="AN850" t="str">
        <f t="shared" si="54"/>
        <v>0-2 Years</v>
      </c>
      <c r="AO850" t="str">
        <f t="shared" si="55"/>
        <v>26-35 years</v>
      </c>
    </row>
    <row r="851" spans="1:41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52"/>
        <v>1</v>
      </c>
      <c r="AM851" t="str">
        <f t="shared" si="53"/>
        <v>3-5 Years</v>
      </c>
      <c r="AN851" t="str">
        <f t="shared" si="54"/>
        <v>0-2 Years</v>
      </c>
      <c r="AO851" t="str">
        <f t="shared" si="55"/>
        <v>36-45 years</v>
      </c>
    </row>
    <row r="852" spans="1:41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52"/>
        <v>1</v>
      </c>
      <c r="AM852" t="str">
        <f t="shared" si="53"/>
        <v>0-2 Years</v>
      </c>
      <c r="AN852" t="str">
        <f t="shared" si="54"/>
        <v>0-2 Years</v>
      </c>
      <c r="AO852" t="str">
        <f t="shared" si="55"/>
        <v>26-35 years</v>
      </c>
    </row>
    <row r="853" spans="1:41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52"/>
        <v>1</v>
      </c>
      <c r="AM853" t="str">
        <f t="shared" si="53"/>
        <v>3-5 Years</v>
      </c>
      <c r="AN853" t="str">
        <f t="shared" si="54"/>
        <v>3-5 Years</v>
      </c>
      <c r="AO853" t="str">
        <f t="shared" si="55"/>
        <v>56+ years</v>
      </c>
    </row>
    <row r="854" spans="1:41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52"/>
        <v>1</v>
      </c>
      <c r="AM854" t="str">
        <f t="shared" si="53"/>
        <v>6-10 Years</v>
      </c>
      <c r="AN854" t="str">
        <f t="shared" si="54"/>
        <v>0-2 Years</v>
      </c>
      <c r="AO854" t="str">
        <f t="shared" si="55"/>
        <v>26-35 years</v>
      </c>
    </row>
    <row r="855" spans="1:41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52"/>
        <v>1</v>
      </c>
      <c r="AM855" t="str">
        <f t="shared" si="53"/>
        <v>0-2 Years</v>
      </c>
      <c r="AN855" t="str">
        <f t="shared" si="54"/>
        <v>0-2 Years</v>
      </c>
      <c r="AO855" t="str">
        <f t="shared" si="55"/>
        <v>18-25 years</v>
      </c>
    </row>
    <row r="856" spans="1:41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52"/>
        <v>1</v>
      </c>
      <c r="AM856" t="str">
        <f t="shared" si="53"/>
        <v>3-5 Years</v>
      </c>
      <c r="AN856" t="str">
        <f t="shared" si="54"/>
        <v>0-2 Years</v>
      </c>
      <c r="AO856" t="str">
        <f t="shared" si="55"/>
        <v>36-45 years</v>
      </c>
    </row>
    <row r="857" spans="1:41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52"/>
        <v>1</v>
      </c>
      <c r="AM857" t="str">
        <f t="shared" si="53"/>
        <v>11-15 Years</v>
      </c>
      <c r="AN857" t="str">
        <f t="shared" si="54"/>
        <v>3-5 Years</v>
      </c>
      <c r="AO857" t="str">
        <f t="shared" si="55"/>
        <v>36-45 years</v>
      </c>
    </row>
    <row r="858" spans="1:41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52"/>
        <v>1</v>
      </c>
      <c r="AM858" t="str">
        <f t="shared" si="53"/>
        <v>0-2 Years</v>
      </c>
      <c r="AN858" t="str">
        <f t="shared" si="54"/>
        <v>0-2 Years</v>
      </c>
      <c r="AO858" t="str">
        <f t="shared" si="55"/>
        <v>18-25 years</v>
      </c>
    </row>
    <row r="859" spans="1:41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52"/>
        <v>1</v>
      </c>
      <c r="AM859" t="str">
        <f t="shared" si="53"/>
        <v>6-10 Years</v>
      </c>
      <c r="AN859" t="str">
        <f t="shared" si="54"/>
        <v>0-2 Years</v>
      </c>
      <c r="AO859" t="str">
        <f t="shared" si="55"/>
        <v>36-45 years</v>
      </c>
    </row>
    <row r="860" spans="1:41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52"/>
        <v>1</v>
      </c>
      <c r="AM860" t="str">
        <f t="shared" si="53"/>
        <v>6-10 Years</v>
      </c>
      <c r="AN860" t="str">
        <f t="shared" si="54"/>
        <v>3-5 Years</v>
      </c>
      <c r="AO860" t="str">
        <f t="shared" si="55"/>
        <v>46-55 Years</v>
      </c>
    </row>
    <row r="861" spans="1:41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52"/>
        <v>1</v>
      </c>
      <c r="AM861" t="str">
        <f t="shared" si="53"/>
        <v>3-5 Years</v>
      </c>
      <c r="AN861" t="str">
        <f t="shared" si="54"/>
        <v>0-2 Years</v>
      </c>
      <c r="AO861" t="str">
        <f t="shared" si="55"/>
        <v>26-35 years</v>
      </c>
    </row>
    <row r="862" spans="1:41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52"/>
        <v>1</v>
      </c>
      <c r="AM862" t="str">
        <f t="shared" si="53"/>
        <v>0-2 Years</v>
      </c>
      <c r="AN862" t="str">
        <f t="shared" si="54"/>
        <v>0-2 Years</v>
      </c>
      <c r="AO862" t="str">
        <f t="shared" si="55"/>
        <v>18-25 years</v>
      </c>
    </row>
    <row r="863" spans="1:41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52"/>
        <v>1</v>
      </c>
      <c r="AM863" t="str">
        <f t="shared" si="53"/>
        <v>21+ Years</v>
      </c>
      <c r="AN863" t="str">
        <f t="shared" si="54"/>
        <v>11-15 Years</v>
      </c>
      <c r="AO863" t="str">
        <f t="shared" si="55"/>
        <v>46-55 Years</v>
      </c>
    </row>
    <row r="864" spans="1:41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52"/>
        <v>1</v>
      </c>
      <c r="AM864" t="str">
        <f t="shared" si="53"/>
        <v>0-2 Years</v>
      </c>
      <c r="AN864" t="str">
        <f t="shared" si="54"/>
        <v>0-2 Years</v>
      </c>
      <c r="AO864" t="str">
        <f t="shared" si="55"/>
        <v>36-45 years</v>
      </c>
    </row>
    <row r="865" spans="1:41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52"/>
        <v>1</v>
      </c>
      <c r="AM865" t="str">
        <f t="shared" si="53"/>
        <v>3-5 Years</v>
      </c>
      <c r="AN865" t="str">
        <f t="shared" si="54"/>
        <v>0-2 Years</v>
      </c>
      <c r="AO865" t="str">
        <f t="shared" si="55"/>
        <v>26-35 years</v>
      </c>
    </row>
    <row r="866" spans="1:41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52"/>
        <v>1</v>
      </c>
      <c r="AM866" t="str">
        <f t="shared" si="53"/>
        <v>0-2 Years</v>
      </c>
      <c r="AN866" t="str">
        <f t="shared" si="54"/>
        <v>0-2 Years</v>
      </c>
      <c r="AO866" t="str">
        <f t="shared" si="55"/>
        <v>36-45 years</v>
      </c>
    </row>
    <row r="867" spans="1:41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52"/>
        <v>1</v>
      </c>
      <c r="AM867" t="str">
        <f t="shared" si="53"/>
        <v>3-5 Years</v>
      </c>
      <c r="AN867" t="str">
        <f t="shared" si="54"/>
        <v>0-2 Years</v>
      </c>
      <c r="AO867" t="str">
        <f t="shared" si="55"/>
        <v>26-35 years</v>
      </c>
    </row>
    <row r="868" spans="1:41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52"/>
        <v>1</v>
      </c>
      <c r="AM868" t="str">
        <f t="shared" si="53"/>
        <v>0-2 Years</v>
      </c>
      <c r="AN868" t="str">
        <f t="shared" si="54"/>
        <v>0-2 Years</v>
      </c>
      <c r="AO868" t="str">
        <f t="shared" si="55"/>
        <v>36-45 years</v>
      </c>
    </row>
    <row r="869" spans="1:41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52"/>
        <v>1</v>
      </c>
      <c r="AM869" t="str">
        <f t="shared" si="53"/>
        <v>0-2 Years</v>
      </c>
      <c r="AN869" t="str">
        <f t="shared" si="54"/>
        <v>0-2 Years</v>
      </c>
      <c r="AO869" t="str">
        <f t="shared" si="55"/>
        <v>46-55 Years</v>
      </c>
    </row>
    <row r="870" spans="1:41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52"/>
        <v>1</v>
      </c>
      <c r="AM870" t="str">
        <f t="shared" si="53"/>
        <v>6-10 Years</v>
      </c>
      <c r="AN870" t="str">
        <f t="shared" si="54"/>
        <v>3-5 Years</v>
      </c>
      <c r="AO870" t="str">
        <f t="shared" si="55"/>
        <v>26-35 years</v>
      </c>
    </row>
    <row r="871" spans="1:41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52"/>
        <v>1</v>
      </c>
      <c r="AM871" t="str">
        <f t="shared" si="53"/>
        <v>3-5 Years</v>
      </c>
      <c r="AN871" t="str">
        <f t="shared" si="54"/>
        <v>0-2 Years</v>
      </c>
      <c r="AO871" t="str">
        <f t="shared" si="55"/>
        <v>46-55 Years</v>
      </c>
    </row>
    <row r="872" spans="1:41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52"/>
        <v>1</v>
      </c>
      <c r="AM872" t="str">
        <f t="shared" si="53"/>
        <v>6-10 Years</v>
      </c>
      <c r="AN872" t="str">
        <f t="shared" si="54"/>
        <v>0-2 Years</v>
      </c>
      <c r="AO872" t="str">
        <f t="shared" si="55"/>
        <v>26-35 years</v>
      </c>
    </row>
    <row r="873" spans="1:41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52"/>
        <v>1</v>
      </c>
      <c r="AM873" t="str">
        <f t="shared" si="53"/>
        <v>0-2 Years</v>
      </c>
      <c r="AN873" t="str">
        <f t="shared" si="54"/>
        <v>0-2 Years</v>
      </c>
      <c r="AO873" t="str">
        <f t="shared" si="55"/>
        <v>18-25 years</v>
      </c>
    </row>
    <row r="874" spans="1:41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52"/>
        <v>1</v>
      </c>
      <c r="AM874" t="str">
        <f t="shared" si="53"/>
        <v>6-10 Years</v>
      </c>
      <c r="AN874" t="str">
        <f t="shared" si="54"/>
        <v>0-2 Years</v>
      </c>
      <c r="AO874" t="str">
        <f t="shared" si="55"/>
        <v>26-35 years</v>
      </c>
    </row>
    <row r="875" spans="1:41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52"/>
        <v>1</v>
      </c>
      <c r="AM875" t="str">
        <f t="shared" si="53"/>
        <v>6-10 Years</v>
      </c>
      <c r="AN875" t="str">
        <f t="shared" si="54"/>
        <v>0-2 Years</v>
      </c>
      <c r="AO875" t="str">
        <f t="shared" si="55"/>
        <v>36-45 years</v>
      </c>
    </row>
    <row r="876" spans="1:41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52"/>
        <v>1</v>
      </c>
      <c r="AM876" t="str">
        <f t="shared" si="53"/>
        <v>6-10 Years</v>
      </c>
      <c r="AN876" t="str">
        <f t="shared" si="54"/>
        <v>6-10 Years</v>
      </c>
      <c r="AO876" t="str">
        <f t="shared" si="55"/>
        <v>26-35 years</v>
      </c>
    </row>
    <row r="877" spans="1:41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52"/>
        <v>1</v>
      </c>
      <c r="AM877" t="str">
        <f t="shared" si="53"/>
        <v>16-20 Years</v>
      </c>
      <c r="AN877" t="str">
        <f t="shared" si="54"/>
        <v>11-15 Years</v>
      </c>
      <c r="AO877" t="str">
        <f t="shared" si="55"/>
        <v>36-45 years</v>
      </c>
    </row>
    <row r="878" spans="1:41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52"/>
        <v>1</v>
      </c>
      <c r="AM878" t="str">
        <f t="shared" si="53"/>
        <v>0-2 Years</v>
      </c>
      <c r="AN878" t="str">
        <f t="shared" si="54"/>
        <v>0-2 Years</v>
      </c>
      <c r="AO878" t="str">
        <f t="shared" si="55"/>
        <v>18-25 years</v>
      </c>
    </row>
    <row r="879" spans="1:41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52"/>
        <v>1</v>
      </c>
      <c r="AM879" t="str">
        <f t="shared" si="53"/>
        <v>6-10 Years</v>
      </c>
      <c r="AN879" t="str">
        <f t="shared" si="54"/>
        <v>0-2 Years</v>
      </c>
      <c r="AO879" t="str">
        <f t="shared" si="55"/>
        <v>46-55 Years</v>
      </c>
    </row>
    <row r="880" spans="1:41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52"/>
        <v>1</v>
      </c>
      <c r="AM880" t="str">
        <f t="shared" si="53"/>
        <v>3-5 Years</v>
      </c>
      <c r="AN880" t="str">
        <f t="shared" si="54"/>
        <v>0-2 Years</v>
      </c>
      <c r="AO880" t="str">
        <f t="shared" si="55"/>
        <v>36-45 years</v>
      </c>
    </row>
    <row r="881" spans="1:41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52"/>
        <v>1</v>
      </c>
      <c r="AM881" t="str">
        <f t="shared" si="53"/>
        <v>11-15 Years</v>
      </c>
      <c r="AN881" t="str">
        <f t="shared" si="54"/>
        <v>0-2 Years</v>
      </c>
      <c r="AO881" t="str">
        <f t="shared" si="55"/>
        <v>56+ years</v>
      </c>
    </row>
    <row r="882" spans="1:41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52"/>
        <v>1</v>
      </c>
      <c r="AM882" t="str">
        <f t="shared" si="53"/>
        <v>0-2 Years</v>
      </c>
      <c r="AN882" t="str">
        <f t="shared" si="54"/>
        <v>0-2 Years</v>
      </c>
      <c r="AO882" t="str">
        <f t="shared" si="55"/>
        <v>26-35 years</v>
      </c>
    </row>
    <row r="883" spans="1:41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52"/>
        <v>1</v>
      </c>
      <c r="AM883" t="str">
        <f t="shared" si="53"/>
        <v>6-10 Years</v>
      </c>
      <c r="AN883" t="str">
        <f t="shared" si="54"/>
        <v>0-2 Years</v>
      </c>
      <c r="AO883" t="str">
        <f t="shared" si="55"/>
        <v>26-35 years</v>
      </c>
    </row>
    <row r="884" spans="1:41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52"/>
        <v>1</v>
      </c>
      <c r="AM884" t="str">
        <f t="shared" si="53"/>
        <v>6-10 Years</v>
      </c>
      <c r="AN884" t="str">
        <f t="shared" si="54"/>
        <v>6-10 Years</v>
      </c>
      <c r="AO884" t="str">
        <f t="shared" si="55"/>
        <v>36-45 years</v>
      </c>
    </row>
    <row r="885" spans="1:41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52"/>
        <v>1</v>
      </c>
      <c r="AM885" t="str">
        <f t="shared" si="53"/>
        <v>11-15 Years</v>
      </c>
      <c r="AN885" t="str">
        <f t="shared" si="54"/>
        <v>3-5 Years</v>
      </c>
      <c r="AO885" t="str">
        <f t="shared" si="55"/>
        <v>26-35 years</v>
      </c>
    </row>
    <row r="886" spans="1:41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52"/>
        <v>1</v>
      </c>
      <c r="AM886" t="str">
        <f t="shared" si="53"/>
        <v>3-5 Years</v>
      </c>
      <c r="AN886" t="str">
        <f t="shared" si="54"/>
        <v>0-2 Years</v>
      </c>
      <c r="AO886" t="str">
        <f t="shared" si="55"/>
        <v>36-45 years</v>
      </c>
    </row>
    <row r="887" spans="1:41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52"/>
        <v>1</v>
      </c>
      <c r="AM887" t="str">
        <f t="shared" si="53"/>
        <v>3-5 Years</v>
      </c>
      <c r="AN887" t="str">
        <f t="shared" si="54"/>
        <v>0-2 Years</v>
      </c>
      <c r="AO887" t="str">
        <f t="shared" si="55"/>
        <v>18-25 years</v>
      </c>
    </row>
    <row r="888" spans="1:41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52"/>
        <v>1</v>
      </c>
      <c r="AM888" t="str">
        <f t="shared" si="53"/>
        <v>11-15 Years</v>
      </c>
      <c r="AN888" t="str">
        <f t="shared" si="54"/>
        <v>3-5 Years</v>
      </c>
      <c r="AO888" t="str">
        <f t="shared" si="55"/>
        <v>26-35 years</v>
      </c>
    </row>
    <row r="889" spans="1:41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52"/>
        <v>1</v>
      </c>
      <c r="AM889" t="str">
        <f t="shared" si="53"/>
        <v>0-2 Years</v>
      </c>
      <c r="AN889" t="str">
        <f t="shared" si="54"/>
        <v>0-2 Years</v>
      </c>
      <c r="AO889" t="str">
        <f t="shared" si="55"/>
        <v>36-45 years</v>
      </c>
    </row>
    <row r="890" spans="1:41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52"/>
        <v>1</v>
      </c>
      <c r="AM890" t="str">
        <f t="shared" si="53"/>
        <v>11-15 Years</v>
      </c>
      <c r="AN890" t="str">
        <f t="shared" si="54"/>
        <v>3-5 Years</v>
      </c>
      <c r="AO890" t="str">
        <f t="shared" si="55"/>
        <v>26-35 years</v>
      </c>
    </row>
    <row r="891" spans="1:41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52"/>
        <v>1</v>
      </c>
      <c r="AM891" t="str">
        <f t="shared" si="53"/>
        <v>6-10 Years</v>
      </c>
      <c r="AN891" t="str">
        <f t="shared" si="54"/>
        <v>6-10 Years</v>
      </c>
      <c r="AO891" t="str">
        <f t="shared" si="55"/>
        <v>26-35 years</v>
      </c>
    </row>
    <row r="892" spans="1:41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52"/>
        <v>1</v>
      </c>
      <c r="AM892" t="str">
        <f t="shared" si="53"/>
        <v>3-5 Years</v>
      </c>
      <c r="AN892" t="str">
        <f t="shared" si="54"/>
        <v>0-2 Years</v>
      </c>
      <c r="AO892" t="str">
        <f t="shared" si="55"/>
        <v>46-55 Years</v>
      </c>
    </row>
    <row r="893" spans="1:41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52"/>
        <v>1</v>
      </c>
      <c r="AM893" t="str">
        <f t="shared" si="53"/>
        <v>6-10 Years</v>
      </c>
      <c r="AN893" t="str">
        <f t="shared" si="54"/>
        <v>6-10 Years</v>
      </c>
      <c r="AO893" t="str">
        <f t="shared" si="55"/>
        <v>36-45 years</v>
      </c>
    </row>
    <row r="894" spans="1:41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52"/>
        <v>1</v>
      </c>
      <c r="AM894" t="str">
        <f t="shared" si="53"/>
        <v>0-2 Years</v>
      </c>
      <c r="AN894" t="str">
        <f t="shared" si="54"/>
        <v>0-2 Years</v>
      </c>
      <c r="AO894" t="str">
        <f t="shared" si="55"/>
        <v>18-25 years</v>
      </c>
    </row>
    <row r="895" spans="1:41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52"/>
        <v>1</v>
      </c>
      <c r="AM895" t="str">
        <f t="shared" si="53"/>
        <v>3-5 Years</v>
      </c>
      <c r="AN895" t="str">
        <f t="shared" si="54"/>
        <v>0-2 Years</v>
      </c>
      <c r="AO895" t="str">
        <f t="shared" si="55"/>
        <v>26-35 years</v>
      </c>
    </row>
    <row r="896" spans="1:41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52"/>
        <v>1</v>
      </c>
      <c r="AM896" t="str">
        <f t="shared" si="53"/>
        <v>6-10 Years</v>
      </c>
      <c r="AN896" t="str">
        <f t="shared" si="54"/>
        <v>0-2 Years</v>
      </c>
      <c r="AO896" t="str">
        <f t="shared" si="55"/>
        <v>46-55 Years</v>
      </c>
    </row>
    <row r="897" spans="1:41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52"/>
        <v>1</v>
      </c>
      <c r="AM897" t="str">
        <f t="shared" si="53"/>
        <v>6-10 Years</v>
      </c>
      <c r="AN897" t="str">
        <f t="shared" si="54"/>
        <v>0-2 Years</v>
      </c>
      <c r="AO897" t="str">
        <f t="shared" si="55"/>
        <v>26-35 years</v>
      </c>
    </row>
    <row r="898" spans="1:41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si="52"/>
        <v>1</v>
      </c>
      <c r="AM898" t="str">
        <f t="shared" si="53"/>
        <v>6-10 Years</v>
      </c>
      <c r="AN898" t="str">
        <f t="shared" si="54"/>
        <v>0-2 Years</v>
      </c>
      <c r="AO898" t="str">
        <f t="shared" si="55"/>
        <v>26-35 years</v>
      </c>
    </row>
    <row r="899" spans="1:41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ref="AJ899:AJ962" si="56">COUNTIFS($A$2:$A$1471,A899,$B$2:$B$1471,B899,$C$2:$C$1471,C899,$D$2:$D$1471,D899,$E$2:$E$1471,E899,$F$2:$F$1471,F899,$G$2:$G$1471,G899,$H$2:$H$1471,H899,$I$2:$I$1471,I899,$J$2:$J$1471,J899,$K$2:$K$1471,K899,$L$2:$L$1471,L899,$M$2:$M$1471,M899,$N$2:$N$1471,N899,$O$2:$O$1471,O899,$P$2:$P$1471,P899,$Q$2:$Q$1471,Q899,$R$2:$R$1471,R899,$S$2:$S$1471,S899,$T$2:$T$1471,T899,$U$2:$U$1471,U899,$V$2:$V$1471,V899,$W$2:$W$1471,W899,$X$2:$X$1471,X899,$Y$2:$Y$1471,Y899,$Z$2:$Z$1471,Z899,$AA$2:$AA$1471,AA899,$AB$2:$AB$1471,AB899,$AC$2:$AC$1471,AC899,$AD$2:$AD$1471,AD899,$AE$2:$AE$1471,AE899,$AF$2:$AF$1471,AF899,$AG$2:$AG$1471,AG899,$AH$2:$AH$1471,AH899,$AI$2:$AI$1471,AI899)</f>
        <v>1</v>
      </c>
      <c r="AM899" t="str">
        <f t="shared" ref="AM899:AM962" si="57">IF(AF899&lt;=2,"0-2 Years",IF(AF899&lt;=5,"3-5 Years",IF(AF899&lt;=10,"6-10 Years",IF(AF899&lt;=15,"11-15 Years",IF(AF899&lt;=20,"16-20 Years","21+ Years")))))</f>
        <v>6-10 Years</v>
      </c>
      <c r="AN899" t="str">
        <f t="shared" ref="AN899:AN962" si="58">IF(AH899&lt;=2,"0-2 Years",IF(AH899&lt;=5,"3-5 Years",IF(AH899&lt;=10,"6-10 Years","11-15 Years")))</f>
        <v>0-2 Years</v>
      </c>
      <c r="AO899" t="str">
        <f t="shared" ref="AO899:AO962" si="59">IF(A899&lt;=25,"18-25 years",IF(A899&lt;=35,"26-35 years",IF(A899&lt;=45,"36-45 years",IF(A899&lt;=55,"46-55 Years","56+ years"))))</f>
        <v>56+ years</v>
      </c>
    </row>
    <row r="900" spans="1:41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56"/>
        <v>1</v>
      </c>
      <c r="AM900" t="str">
        <f t="shared" si="57"/>
        <v>6-10 Years</v>
      </c>
      <c r="AN900" t="str">
        <f t="shared" si="58"/>
        <v>0-2 Years</v>
      </c>
      <c r="AO900" t="str">
        <f t="shared" si="59"/>
        <v>36-45 years</v>
      </c>
    </row>
    <row r="901" spans="1:41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56"/>
        <v>1</v>
      </c>
      <c r="AM901" t="str">
        <f t="shared" si="57"/>
        <v>0-2 Years</v>
      </c>
      <c r="AN901" t="str">
        <f t="shared" si="58"/>
        <v>0-2 Years</v>
      </c>
      <c r="AO901" t="str">
        <f t="shared" si="59"/>
        <v>46-55 Years</v>
      </c>
    </row>
    <row r="902" spans="1:41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56"/>
        <v>1</v>
      </c>
      <c r="AM902" t="str">
        <f t="shared" si="57"/>
        <v>11-15 Years</v>
      </c>
      <c r="AN902" t="str">
        <f t="shared" si="58"/>
        <v>0-2 Years</v>
      </c>
      <c r="AO902" t="str">
        <f t="shared" si="59"/>
        <v>36-45 years</v>
      </c>
    </row>
    <row r="903" spans="1:41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56"/>
        <v>1</v>
      </c>
      <c r="AM903" t="str">
        <f t="shared" si="57"/>
        <v>0-2 Years</v>
      </c>
      <c r="AN903" t="str">
        <f t="shared" si="58"/>
        <v>0-2 Years</v>
      </c>
      <c r="AO903" t="str">
        <f t="shared" si="59"/>
        <v>46-55 Years</v>
      </c>
    </row>
    <row r="904" spans="1:41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56"/>
        <v>1</v>
      </c>
      <c r="AM904" t="str">
        <f t="shared" si="57"/>
        <v>3-5 Years</v>
      </c>
      <c r="AN904" t="str">
        <f t="shared" si="58"/>
        <v>0-2 Years</v>
      </c>
      <c r="AO904" t="str">
        <f t="shared" si="59"/>
        <v>26-35 years</v>
      </c>
    </row>
    <row r="905" spans="1:41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56"/>
        <v>1</v>
      </c>
      <c r="AM905" t="str">
        <f t="shared" si="57"/>
        <v>6-10 Years</v>
      </c>
      <c r="AN905" t="str">
        <f t="shared" si="58"/>
        <v>0-2 Years</v>
      </c>
      <c r="AO905" t="str">
        <f t="shared" si="59"/>
        <v>26-35 years</v>
      </c>
    </row>
    <row r="906" spans="1:41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56"/>
        <v>1</v>
      </c>
      <c r="AM906" t="str">
        <f t="shared" si="57"/>
        <v>0-2 Years</v>
      </c>
      <c r="AN906" t="str">
        <f t="shared" si="58"/>
        <v>0-2 Years</v>
      </c>
      <c r="AO906" t="str">
        <f t="shared" si="59"/>
        <v>46-55 Years</v>
      </c>
    </row>
    <row r="907" spans="1:41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56"/>
        <v>1</v>
      </c>
      <c r="AM907" t="str">
        <f t="shared" si="57"/>
        <v>6-10 Years</v>
      </c>
      <c r="AN907" t="str">
        <f t="shared" si="58"/>
        <v>0-2 Years</v>
      </c>
      <c r="AO907" t="str">
        <f t="shared" si="59"/>
        <v>26-35 years</v>
      </c>
    </row>
    <row r="908" spans="1:41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56"/>
        <v>1</v>
      </c>
      <c r="AM908" t="str">
        <f t="shared" si="57"/>
        <v>0-2 Years</v>
      </c>
      <c r="AN908" t="str">
        <f t="shared" si="58"/>
        <v>0-2 Years</v>
      </c>
      <c r="AO908" t="str">
        <f t="shared" si="59"/>
        <v>26-35 years</v>
      </c>
    </row>
    <row r="909" spans="1:41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56"/>
        <v>1</v>
      </c>
      <c r="AM909" t="str">
        <f t="shared" si="57"/>
        <v>21+ Years</v>
      </c>
      <c r="AN909" t="str">
        <f t="shared" si="58"/>
        <v>3-5 Years</v>
      </c>
      <c r="AO909" t="str">
        <f t="shared" si="59"/>
        <v>36-45 years</v>
      </c>
    </row>
    <row r="910" spans="1:41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56"/>
        <v>1</v>
      </c>
      <c r="AM910" t="str">
        <f t="shared" si="57"/>
        <v>6-10 Years</v>
      </c>
      <c r="AN910" t="str">
        <f t="shared" si="58"/>
        <v>0-2 Years</v>
      </c>
      <c r="AO910" t="str">
        <f t="shared" si="59"/>
        <v>26-35 years</v>
      </c>
    </row>
    <row r="911" spans="1:41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56"/>
        <v>1</v>
      </c>
      <c r="AM911" t="str">
        <f t="shared" si="57"/>
        <v>0-2 Years</v>
      </c>
      <c r="AN911" t="str">
        <f t="shared" si="58"/>
        <v>0-2 Years</v>
      </c>
      <c r="AO911" t="str">
        <f t="shared" si="59"/>
        <v>18-25 years</v>
      </c>
    </row>
    <row r="912" spans="1:41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56"/>
        <v>1</v>
      </c>
      <c r="AM912" t="str">
        <f t="shared" si="57"/>
        <v>0-2 Years</v>
      </c>
      <c r="AN912" t="str">
        <f t="shared" si="58"/>
        <v>0-2 Years</v>
      </c>
      <c r="AO912" t="str">
        <f t="shared" si="59"/>
        <v>18-25 years</v>
      </c>
    </row>
    <row r="913" spans="1:41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56"/>
        <v>1</v>
      </c>
      <c r="AM913" t="str">
        <f t="shared" si="57"/>
        <v>0-2 Years</v>
      </c>
      <c r="AN913" t="str">
        <f t="shared" si="58"/>
        <v>0-2 Years</v>
      </c>
      <c r="AO913" t="str">
        <f t="shared" si="59"/>
        <v>18-25 years</v>
      </c>
    </row>
    <row r="914" spans="1:41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56"/>
        <v>1</v>
      </c>
      <c r="AM914" t="str">
        <f t="shared" si="57"/>
        <v>6-10 Years</v>
      </c>
      <c r="AN914" t="str">
        <f t="shared" si="58"/>
        <v>0-2 Years</v>
      </c>
      <c r="AO914" t="str">
        <f t="shared" si="59"/>
        <v>26-35 years</v>
      </c>
    </row>
    <row r="915" spans="1:41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56"/>
        <v>1</v>
      </c>
      <c r="AM915" t="str">
        <f t="shared" si="57"/>
        <v>21+ Years</v>
      </c>
      <c r="AN915" t="str">
        <f t="shared" si="58"/>
        <v>0-2 Years</v>
      </c>
      <c r="AO915" t="str">
        <f t="shared" si="59"/>
        <v>36-45 years</v>
      </c>
    </row>
    <row r="916" spans="1:41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56"/>
        <v>1</v>
      </c>
      <c r="AM916" t="str">
        <f t="shared" si="57"/>
        <v>21+ Years</v>
      </c>
      <c r="AN916" t="str">
        <f t="shared" si="58"/>
        <v>11-15 Years</v>
      </c>
      <c r="AO916" t="str">
        <f t="shared" si="59"/>
        <v>46-55 Years</v>
      </c>
    </row>
    <row r="917" spans="1:41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56"/>
        <v>1</v>
      </c>
      <c r="AM917" t="str">
        <f t="shared" si="57"/>
        <v>0-2 Years</v>
      </c>
      <c r="AN917" t="str">
        <f t="shared" si="58"/>
        <v>0-2 Years</v>
      </c>
      <c r="AO917" t="str">
        <f t="shared" si="59"/>
        <v>18-25 years</v>
      </c>
    </row>
    <row r="918" spans="1:41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56"/>
        <v>1</v>
      </c>
      <c r="AM918" t="str">
        <f t="shared" si="57"/>
        <v>11-15 Years</v>
      </c>
      <c r="AN918" t="str">
        <f t="shared" si="58"/>
        <v>0-2 Years</v>
      </c>
      <c r="AO918" t="str">
        <f t="shared" si="59"/>
        <v>46-55 Years</v>
      </c>
    </row>
    <row r="919" spans="1:41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56"/>
        <v>1</v>
      </c>
      <c r="AM919" t="str">
        <f t="shared" si="57"/>
        <v>3-5 Years</v>
      </c>
      <c r="AN919" t="str">
        <f t="shared" si="58"/>
        <v>0-2 Years</v>
      </c>
      <c r="AO919" t="str">
        <f t="shared" si="59"/>
        <v>26-35 years</v>
      </c>
    </row>
    <row r="920" spans="1:41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56"/>
        <v>1</v>
      </c>
      <c r="AM920" t="str">
        <f t="shared" si="57"/>
        <v>21+ Years</v>
      </c>
      <c r="AN920" t="str">
        <f t="shared" si="58"/>
        <v>11-15 Years</v>
      </c>
      <c r="AO920" t="str">
        <f t="shared" si="59"/>
        <v>46-55 Years</v>
      </c>
    </row>
    <row r="921" spans="1:41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56"/>
        <v>1</v>
      </c>
      <c r="AM921" t="str">
        <f t="shared" si="57"/>
        <v>6-10 Years</v>
      </c>
      <c r="AN921" t="str">
        <f t="shared" si="58"/>
        <v>3-5 Years</v>
      </c>
      <c r="AO921" t="str">
        <f t="shared" si="59"/>
        <v>56+ years</v>
      </c>
    </row>
    <row r="922" spans="1:41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56"/>
        <v>1</v>
      </c>
      <c r="AM922" t="str">
        <f t="shared" si="57"/>
        <v>11-15 Years</v>
      </c>
      <c r="AN922" t="str">
        <f t="shared" si="58"/>
        <v>3-5 Years</v>
      </c>
      <c r="AO922" t="str">
        <f t="shared" si="59"/>
        <v>26-35 years</v>
      </c>
    </row>
    <row r="923" spans="1:41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56"/>
        <v>1</v>
      </c>
      <c r="AM923" t="str">
        <f t="shared" si="57"/>
        <v>3-5 Years</v>
      </c>
      <c r="AN923" t="str">
        <f t="shared" si="58"/>
        <v>0-2 Years</v>
      </c>
      <c r="AO923" t="str">
        <f t="shared" si="59"/>
        <v>26-35 years</v>
      </c>
    </row>
    <row r="924" spans="1:41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56"/>
        <v>1</v>
      </c>
      <c r="AM924" t="str">
        <f t="shared" si="57"/>
        <v>21+ Years</v>
      </c>
      <c r="AN924" t="str">
        <f t="shared" si="58"/>
        <v>11-15 Years</v>
      </c>
      <c r="AO924" t="str">
        <f t="shared" si="59"/>
        <v>36-45 years</v>
      </c>
    </row>
    <row r="925" spans="1:41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56"/>
        <v>1</v>
      </c>
      <c r="AM925" t="str">
        <f t="shared" si="57"/>
        <v>6-10 Years</v>
      </c>
      <c r="AN925" t="str">
        <f t="shared" si="58"/>
        <v>0-2 Years</v>
      </c>
      <c r="AO925" t="str">
        <f t="shared" si="59"/>
        <v>26-35 years</v>
      </c>
    </row>
    <row r="926" spans="1:41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56"/>
        <v>1</v>
      </c>
      <c r="AM926" t="str">
        <f t="shared" si="57"/>
        <v>3-5 Years</v>
      </c>
      <c r="AN926" t="str">
        <f t="shared" si="58"/>
        <v>0-2 Years</v>
      </c>
      <c r="AO926" t="str">
        <f t="shared" si="59"/>
        <v>26-35 years</v>
      </c>
    </row>
    <row r="927" spans="1:41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56"/>
        <v>1</v>
      </c>
      <c r="AM927" t="str">
        <f t="shared" si="57"/>
        <v>0-2 Years</v>
      </c>
      <c r="AN927" t="str">
        <f t="shared" si="58"/>
        <v>0-2 Years</v>
      </c>
      <c r="AO927" t="str">
        <f t="shared" si="59"/>
        <v>36-45 years</v>
      </c>
    </row>
    <row r="928" spans="1:41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56"/>
        <v>1</v>
      </c>
      <c r="AM928" t="str">
        <f t="shared" si="57"/>
        <v>21+ Years</v>
      </c>
      <c r="AN928" t="str">
        <f t="shared" si="58"/>
        <v>11-15 Years</v>
      </c>
      <c r="AO928" t="str">
        <f t="shared" si="59"/>
        <v>36-45 years</v>
      </c>
    </row>
    <row r="929" spans="1:41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56"/>
        <v>1</v>
      </c>
      <c r="AM929" t="str">
        <f t="shared" si="57"/>
        <v>16-20 Years</v>
      </c>
      <c r="AN929" t="str">
        <f t="shared" si="58"/>
        <v>3-5 Years</v>
      </c>
      <c r="AO929" t="str">
        <f t="shared" si="59"/>
        <v>36-45 years</v>
      </c>
    </row>
    <row r="930" spans="1:41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56"/>
        <v>1</v>
      </c>
      <c r="AM930" t="str">
        <f t="shared" si="57"/>
        <v>6-10 Years</v>
      </c>
      <c r="AN930" t="str">
        <f t="shared" si="58"/>
        <v>0-2 Years</v>
      </c>
      <c r="AO930" t="str">
        <f t="shared" si="59"/>
        <v>36-45 years</v>
      </c>
    </row>
    <row r="931" spans="1:41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56"/>
        <v>1</v>
      </c>
      <c r="AM931" t="str">
        <f t="shared" si="57"/>
        <v>0-2 Years</v>
      </c>
      <c r="AN931" t="str">
        <f t="shared" si="58"/>
        <v>0-2 Years</v>
      </c>
      <c r="AO931" t="str">
        <f t="shared" si="59"/>
        <v>26-35 years</v>
      </c>
    </row>
    <row r="932" spans="1:41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56"/>
        <v>1</v>
      </c>
      <c r="AM932" t="str">
        <f t="shared" si="57"/>
        <v>6-10 Years</v>
      </c>
      <c r="AN932" t="str">
        <f t="shared" si="58"/>
        <v>6-10 Years</v>
      </c>
      <c r="AO932" t="str">
        <f t="shared" si="59"/>
        <v>46-55 Years</v>
      </c>
    </row>
    <row r="933" spans="1:41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56"/>
        <v>1</v>
      </c>
      <c r="AM933" t="str">
        <f t="shared" si="57"/>
        <v>6-10 Years</v>
      </c>
      <c r="AN933" t="str">
        <f t="shared" si="58"/>
        <v>0-2 Years</v>
      </c>
      <c r="AO933" t="str">
        <f t="shared" si="59"/>
        <v>26-35 years</v>
      </c>
    </row>
    <row r="934" spans="1:41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56"/>
        <v>1</v>
      </c>
      <c r="AM934" t="str">
        <f t="shared" si="57"/>
        <v>6-10 Years</v>
      </c>
      <c r="AN934" t="str">
        <f t="shared" si="58"/>
        <v>6-10 Years</v>
      </c>
      <c r="AO934" t="str">
        <f t="shared" si="59"/>
        <v>26-35 years</v>
      </c>
    </row>
    <row r="935" spans="1:41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56"/>
        <v>1</v>
      </c>
      <c r="AM935" t="str">
        <f t="shared" si="57"/>
        <v>3-5 Years</v>
      </c>
      <c r="AN935" t="str">
        <f t="shared" si="58"/>
        <v>0-2 Years</v>
      </c>
      <c r="AO935" t="str">
        <f t="shared" si="59"/>
        <v>26-35 years</v>
      </c>
    </row>
    <row r="936" spans="1:41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56"/>
        <v>1</v>
      </c>
      <c r="AM936" t="str">
        <f t="shared" si="57"/>
        <v>0-2 Years</v>
      </c>
      <c r="AN936" t="str">
        <f t="shared" si="58"/>
        <v>0-2 Years</v>
      </c>
      <c r="AO936" t="str">
        <f t="shared" si="59"/>
        <v>18-25 years</v>
      </c>
    </row>
    <row r="937" spans="1:41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56"/>
        <v>1</v>
      </c>
      <c r="AM937" t="str">
        <f t="shared" si="57"/>
        <v>6-10 Years</v>
      </c>
      <c r="AN937" t="str">
        <f t="shared" si="58"/>
        <v>0-2 Years</v>
      </c>
      <c r="AO937" t="str">
        <f t="shared" si="59"/>
        <v>26-35 years</v>
      </c>
    </row>
    <row r="938" spans="1:41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56"/>
        <v>1</v>
      </c>
      <c r="AM938" t="str">
        <f t="shared" si="57"/>
        <v>0-2 Years</v>
      </c>
      <c r="AN938" t="str">
        <f t="shared" si="58"/>
        <v>0-2 Years</v>
      </c>
      <c r="AO938" t="str">
        <f t="shared" si="59"/>
        <v>36-45 years</v>
      </c>
    </row>
    <row r="939" spans="1:41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56"/>
        <v>1</v>
      </c>
      <c r="AM939" t="str">
        <f t="shared" si="57"/>
        <v>16-20 Years</v>
      </c>
      <c r="AN939" t="str">
        <f t="shared" si="58"/>
        <v>11-15 Years</v>
      </c>
      <c r="AO939" t="str">
        <f t="shared" si="59"/>
        <v>36-45 years</v>
      </c>
    </row>
    <row r="940" spans="1:41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56"/>
        <v>1</v>
      </c>
      <c r="AM940" t="str">
        <f t="shared" si="57"/>
        <v>0-2 Years</v>
      </c>
      <c r="AN940" t="str">
        <f t="shared" si="58"/>
        <v>0-2 Years</v>
      </c>
      <c r="AO940" t="str">
        <f t="shared" si="59"/>
        <v>56+ years</v>
      </c>
    </row>
    <row r="941" spans="1:41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56"/>
        <v>1</v>
      </c>
      <c r="AM941" t="str">
        <f t="shared" si="57"/>
        <v>6-10 Years</v>
      </c>
      <c r="AN941" t="str">
        <f t="shared" si="58"/>
        <v>0-2 Years</v>
      </c>
      <c r="AO941" t="str">
        <f t="shared" si="59"/>
        <v>26-35 years</v>
      </c>
    </row>
    <row r="942" spans="1:41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56"/>
        <v>1</v>
      </c>
      <c r="AM942" t="str">
        <f t="shared" si="57"/>
        <v>3-5 Years</v>
      </c>
      <c r="AN942" t="str">
        <f t="shared" si="58"/>
        <v>0-2 Years</v>
      </c>
      <c r="AO942" t="str">
        <f t="shared" si="59"/>
        <v>36-45 years</v>
      </c>
    </row>
    <row r="943" spans="1:41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56"/>
        <v>1</v>
      </c>
      <c r="AM943" t="str">
        <f t="shared" si="57"/>
        <v>6-10 Years</v>
      </c>
      <c r="AN943" t="str">
        <f t="shared" si="58"/>
        <v>6-10 Years</v>
      </c>
      <c r="AO943" t="str">
        <f t="shared" si="59"/>
        <v>26-35 years</v>
      </c>
    </row>
    <row r="944" spans="1:41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56"/>
        <v>1</v>
      </c>
      <c r="AM944" t="str">
        <f t="shared" si="57"/>
        <v>6-10 Years</v>
      </c>
      <c r="AN944" t="str">
        <f t="shared" si="58"/>
        <v>0-2 Years</v>
      </c>
      <c r="AO944" t="str">
        <f t="shared" si="59"/>
        <v>36-45 years</v>
      </c>
    </row>
    <row r="945" spans="1:41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56"/>
        <v>1</v>
      </c>
      <c r="AM945" t="str">
        <f t="shared" si="57"/>
        <v>6-10 Years</v>
      </c>
      <c r="AN945" t="str">
        <f t="shared" si="58"/>
        <v>3-5 Years</v>
      </c>
      <c r="AO945" t="str">
        <f t="shared" si="59"/>
        <v>46-55 Years</v>
      </c>
    </row>
    <row r="946" spans="1:41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56"/>
        <v>1</v>
      </c>
      <c r="AM946" t="str">
        <f t="shared" si="57"/>
        <v>6-10 Years</v>
      </c>
      <c r="AN946" t="str">
        <f t="shared" si="58"/>
        <v>6-10 Years</v>
      </c>
      <c r="AO946" t="str">
        <f t="shared" si="59"/>
        <v>26-35 years</v>
      </c>
    </row>
    <row r="947" spans="1:41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56"/>
        <v>1</v>
      </c>
      <c r="AM947" t="str">
        <f t="shared" si="57"/>
        <v>3-5 Years</v>
      </c>
      <c r="AN947" t="str">
        <f t="shared" si="58"/>
        <v>0-2 Years</v>
      </c>
      <c r="AO947" t="str">
        <f t="shared" si="59"/>
        <v>46-55 Years</v>
      </c>
    </row>
    <row r="948" spans="1:41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56"/>
        <v>1</v>
      </c>
      <c r="AM948" t="str">
        <f t="shared" si="57"/>
        <v>3-5 Years</v>
      </c>
      <c r="AN948" t="str">
        <f t="shared" si="58"/>
        <v>0-2 Years</v>
      </c>
      <c r="AO948" t="str">
        <f t="shared" si="59"/>
        <v>36-45 years</v>
      </c>
    </row>
    <row r="949" spans="1:41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56"/>
        <v>1</v>
      </c>
      <c r="AM949" t="str">
        <f t="shared" si="57"/>
        <v>6-10 Years</v>
      </c>
      <c r="AN949" t="str">
        <f t="shared" si="58"/>
        <v>6-10 Years</v>
      </c>
      <c r="AO949" t="str">
        <f t="shared" si="59"/>
        <v>46-55 Years</v>
      </c>
    </row>
    <row r="950" spans="1:41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56"/>
        <v>1</v>
      </c>
      <c r="AM950" t="str">
        <f t="shared" si="57"/>
        <v>6-10 Years</v>
      </c>
      <c r="AN950" t="str">
        <f t="shared" si="58"/>
        <v>0-2 Years</v>
      </c>
      <c r="AO950" t="str">
        <f t="shared" si="59"/>
        <v>26-35 years</v>
      </c>
    </row>
    <row r="951" spans="1:41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56"/>
        <v>1</v>
      </c>
      <c r="AM951" t="str">
        <f t="shared" si="57"/>
        <v>6-10 Years</v>
      </c>
      <c r="AN951" t="str">
        <f t="shared" si="58"/>
        <v>0-2 Years</v>
      </c>
      <c r="AO951" t="str">
        <f t="shared" si="59"/>
        <v>36-45 years</v>
      </c>
    </row>
    <row r="952" spans="1:41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56"/>
        <v>1</v>
      </c>
      <c r="AM952" t="str">
        <f t="shared" si="57"/>
        <v>6-10 Years</v>
      </c>
      <c r="AN952" t="str">
        <f t="shared" si="58"/>
        <v>6-10 Years</v>
      </c>
      <c r="AO952" t="str">
        <f t="shared" si="59"/>
        <v>26-35 years</v>
      </c>
    </row>
    <row r="953" spans="1:41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56"/>
        <v>1</v>
      </c>
      <c r="AM953" t="str">
        <f t="shared" si="57"/>
        <v>16-20 Years</v>
      </c>
      <c r="AN953" t="str">
        <f t="shared" si="58"/>
        <v>11-15 Years</v>
      </c>
      <c r="AO953" t="str">
        <f t="shared" si="59"/>
        <v>36-45 years</v>
      </c>
    </row>
    <row r="954" spans="1:41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56"/>
        <v>1</v>
      </c>
      <c r="AM954" t="str">
        <f t="shared" si="57"/>
        <v>3-5 Years</v>
      </c>
      <c r="AN954" t="str">
        <f t="shared" si="58"/>
        <v>0-2 Years</v>
      </c>
      <c r="AO954" t="str">
        <f t="shared" si="59"/>
        <v>26-35 years</v>
      </c>
    </row>
    <row r="955" spans="1:41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56"/>
        <v>1</v>
      </c>
      <c r="AM955" t="str">
        <f t="shared" si="57"/>
        <v>3-5 Years</v>
      </c>
      <c r="AN955" t="str">
        <f t="shared" si="58"/>
        <v>0-2 Years</v>
      </c>
      <c r="AO955" t="str">
        <f t="shared" si="59"/>
        <v>36-45 years</v>
      </c>
    </row>
    <row r="956" spans="1:41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56"/>
        <v>1</v>
      </c>
      <c r="AM956" t="str">
        <f t="shared" si="57"/>
        <v>16-20 Years</v>
      </c>
      <c r="AN956" t="str">
        <f t="shared" si="58"/>
        <v>0-2 Years</v>
      </c>
      <c r="AO956" t="str">
        <f t="shared" si="59"/>
        <v>36-45 years</v>
      </c>
    </row>
    <row r="957" spans="1:41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56"/>
        <v>1</v>
      </c>
      <c r="AM957" t="str">
        <f t="shared" si="57"/>
        <v>16-20 Years</v>
      </c>
      <c r="AN957" t="str">
        <f t="shared" si="58"/>
        <v>6-10 Years</v>
      </c>
      <c r="AO957" t="str">
        <f t="shared" si="59"/>
        <v>46-55 Years</v>
      </c>
    </row>
    <row r="958" spans="1:41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56"/>
        <v>1</v>
      </c>
      <c r="AM958" t="str">
        <f t="shared" si="57"/>
        <v>6-10 Years</v>
      </c>
      <c r="AN958" t="str">
        <f t="shared" si="58"/>
        <v>6-10 Years</v>
      </c>
      <c r="AO958" t="str">
        <f t="shared" si="59"/>
        <v>56+ years</v>
      </c>
    </row>
    <row r="959" spans="1:41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56"/>
        <v>1</v>
      </c>
      <c r="AM959" t="str">
        <f t="shared" si="57"/>
        <v>3-5 Years</v>
      </c>
      <c r="AN959" t="str">
        <f t="shared" si="58"/>
        <v>0-2 Years</v>
      </c>
      <c r="AO959" t="str">
        <f t="shared" si="59"/>
        <v>36-45 years</v>
      </c>
    </row>
    <row r="960" spans="1:41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56"/>
        <v>1</v>
      </c>
      <c r="AM960" t="str">
        <f t="shared" si="57"/>
        <v>6-10 Years</v>
      </c>
      <c r="AN960" t="str">
        <f t="shared" si="58"/>
        <v>0-2 Years</v>
      </c>
      <c r="AO960" t="str">
        <f t="shared" si="59"/>
        <v>26-35 years</v>
      </c>
    </row>
    <row r="961" spans="1:41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56"/>
        <v>1</v>
      </c>
      <c r="AM961" t="str">
        <f t="shared" si="57"/>
        <v>6-10 Years</v>
      </c>
      <c r="AN961" t="str">
        <f t="shared" si="58"/>
        <v>6-10 Years</v>
      </c>
      <c r="AO961" t="str">
        <f t="shared" si="59"/>
        <v>36-45 years</v>
      </c>
    </row>
    <row r="962" spans="1:41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si="56"/>
        <v>1</v>
      </c>
      <c r="AM962" t="str">
        <f t="shared" si="57"/>
        <v>6-10 Years</v>
      </c>
      <c r="AN962" t="str">
        <f t="shared" si="58"/>
        <v>0-2 Years</v>
      </c>
      <c r="AO962" t="str">
        <f t="shared" si="59"/>
        <v>36-45 years</v>
      </c>
    </row>
    <row r="963" spans="1:41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ref="AJ963:AJ1026" si="60">COUNTIFS($A$2:$A$1471,A963,$B$2:$B$1471,B963,$C$2:$C$1471,C963,$D$2:$D$1471,D963,$E$2:$E$1471,E963,$F$2:$F$1471,F963,$G$2:$G$1471,G963,$H$2:$H$1471,H963,$I$2:$I$1471,I963,$J$2:$J$1471,J963,$K$2:$K$1471,K963,$L$2:$L$1471,L963,$M$2:$M$1471,M963,$N$2:$N$1471,N963,$O$2:$O$1471,O963,$P$2:$P$1471,P963,$Q$2:$Q$1471,Q963,$R$2:$R$1471,R963,$S$2:$S$1471,S963,$T$2:$T$1471,T963,$U$2:$U$1471,U963,$V$2:$V$1471,V963,$W$2:$W$1471,W963,$X$2:$X$1471,X963,$Y$2:$Y$1471,Y963,$Z$2:$Z$1471,Z963,$AA$2:$AA$1471,AA963,$AB$2:$AB$1471,AB963,$AC$2:$AC$1471,AC963,$AD$2:$AD$1471,AD963,$AE$2:$AE$1471,AE963,$AF$2:$AF$1471,AF963,$AG$2:$AG$1471,AG963,$AH$2:$AH$1471,AH963,$AI$2:$AI$1471,AI963)</f>
        <v>1</v>
      </c>
      <c r="AM963" t="str">
        <f t="shared" ref="AM963:AM1026" si="61">IF(AF963&lt;=2,"0-2 Years",IF(AF963&lt;=5,"3-5 Years",IF(AF963&lt;=10,"6-10 Years",IF(AF963&lt;=15,"11-15 Years",IF(AF963&lt;=20,"16-20 Years","21+ Years")))))</f>
        <v>6-10 Years</v>
      </c>
      <c r="AN963" t="str">
        <f t="shared" ref="AN963:AN1026" si="62">IF(AH963&lt;=2,"0-2 Years",IF(AH963&lt;=5,"3-5 Years",IF(AH963&lt;=10,"6-10 Years","11-15 Years")))</f>
        <v>0-2 Years</v>
      </c>
      <c r="AO963" t="str">
        <f t="shared" ref="AO963:AO1026" si="63">IF(A963&lt;=25,"18-25 years",IF(A963&lt;=35,"26-35 years",IF(A963&lt;=45,"36-45 years",IF(A963&lt;=55,"46-55 Years","56+ years"))))</f>
        <v>26-35 years</v>
      </c>
    </row>
    <row r="964" spans="1:41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60"/>
        <v>1</v>
      </c>
      <c r="AM964" t="str">
        <f t="shared" si="61"/>
        <v>21+ Years</v>
      </c>
      <c r="AN964" t="str">
        <f t="shared" si="62"/>
        <v>0-2 Years</v>
      </c>
      <c r="AO964" t="str">
        <f t="shared" si="63"/>
        <v>46-55 Years</v>
      </c>
    </row>
    <row r="965" spans="1:41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60"/>
        <v>1</v>
      </c>
      <c r="AM965" t="str">
        <f t="shared" si="61"/>
        <v>6-10 Years</v>
      </c>
      <c r="AN965" t="str">
        <f t="shared" si="62"/>
        <v>0-2 Years</v>
      </c>
      <c r="AO965" t="str">
        <f t="shared" si="63"/>
        <v>36-45 years</v>
      </c>
    </row>
    <row r="966" spans="1:41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60"/>
        <v>1</v>
      </c>
      <c r="AM966" t="str">
        <f t="shared" si="61"/>
        <v>6-10 Years</v>
      </c>
      <c r="AN966" t="str">
        <f t="shared" si="62"/>
        <v>6-10 Years</v>
      </c>
      <c r="AO966" t="str">
        <f t="shared" si="63"/>
        <v>26-35 years</v>
      </c>
    </row>
    <row r="967" spans="1:41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60"/>
        <v>1</v>
      </c>
      <c r="AM967" t="str">
        <f t="shared" si="61"/>
        <v>3-5 Years</v>
      </c>
      <c r="AN967" t="str">
        <f t="shared" si="62"/>
        <v>0-2 Years</v>
      </c>
      <c r="AO967" t="str">
        <f t="shared" si="63"/>
        <v>18-25 years</v>
      </c>
    </row>
    <row r="968" spans="1:41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60"/>
        <v>1</v>
      </c>
      <c r="AM968" t="str">
        <f t="shared" si="61"/>
        <v>6-10 Years</v>
      </c>
      <c r="AN968" t="str">
        <f t="shared" si="62"/>
        <v>3-5 Years</v>
      </c>
      <c r="AO968" t="str">
        <f t="shared" si="63"/>
        <v>56+ years</v>
      </c>
    </row>
    <row r="969" spans="1:41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60"/>
        <v>1</v>
      </c>
      <c r="AM969" t="str">
        <f t="shared" si="61"/>
        <v>3-5 Years</v>
      </c>
      <c r="AN969" t="str">
        <f t="shared" si="62"/>
        <v>0-2 Years</v>
      </c>
      <c r="AO969" t="str">
        <f t="shared" si="63"/>
        <v>36-45 years</v>
      </c>
    </row>
    <row r="970" spans="1:41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60"/>
        <v>1</v>
      </c>
      <c r="AM970" t="str">
        <f t="shared" si="61"/>
        <v>11-15 Years</v>
      </c>
      <c r="AN970" t="str">
        <f t="shared" si="62"/>
        <v>6-10 Years</v>
      </c>
      <c r="AO970" t="str">
        <f t="shared" si="63"/>
        <v>36-45 years</v>
      </c>
    </row>
    <row r="971" spans="1:41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60"/>
        <v>1</v>
      </c>
      <c r="AM971" t="str">
        <f t="shared" si="61"/>
        <v>6-10 Years</v>
      </c>
      <c r="AN971" t="str">
        <f t="shared" si="62"/>
        <v>0-2 Years</v>
      </c>
      <c r="AO971" t="str">
        <f t="shared" si="63"/>
        <v>46-55 Years</v>
      </c>
    </row>
    <row r="972" spans="1:41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60"/>
        <v>1</v>
      </c>
      <c r="AM972" t="str">
        <f t="shared" si="61"/>
        <v>0-2 Years</v>
      </c>
      <c r="AN972" t="str">
        <f t="shared" si="62"/>
        <v>0-2 Years</v>
      </c>
      <c r="AO972" t="str">
        <f t="shared" si="63"/>
        <v>26-35 years</v>
      </c>
    </row>
    <row r="973" spans="1:41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60"/>
        <v>1</v>
      </c>
      <c r="AM973" t="str">
        <f t="shared" si="61"/>
        <v>3-5 Years</v>
      </c>
      <c r="AN973" t="str">
        <f t="shared" si="62"/>
        <v>0-2 Years</v>
      </c>
      <c r="AO973" t="str">
        <f t="shared" si="63"/>
        <v>46-55 Years</v>
      </c>
    </row>
    <row r="974" spans="1:41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60"/>
        <v>1</v>
      </c>
      <c r="AM974" t="str">
        <f t="shared" si="61"/>
        <v>0-2 Years</v>
      </c>
      <c r="AN974" t="str">
        <f t="shared" si="62"/>
        <v>0-2 Years</v>
      </c>
      <c r="AO974" t="str">
        <f t="shared" si="63"/>
        <v>18-25 years</v>
      </c>
    </row>
    <row r="975" spans="1:41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60"/>
        <v>1</v>
      </c>
      <c r="AM975" t="str">
        <f t="shared" si="61"/>
        <v>6-10 Years</v>
      </c>
      <c r="AN975" t="str">
        <f t="shared" si="62"/>
        <v>0-2 Years</v>
      </c>
      <c r="AO975" t="str">
        <f t="shared" si="63"/>
        <v>26-35 years</v>
      </c>
    </row>
    <row r="976" spans="1:41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60"/>
        <v>1</v>
      </c>
      <c r="AM976" t="str">
        <f t="shared" si="61"/>
        <v>6-10 Years</v>
      </c>
      <c r="AN976" t="str">
        <f t="shared" si="62"/>
        <v>0-2 Years</v>
      </c>
      <c r="AO976" t="str">
        <f t="shared" si="63"/>
        <v>26-35 years</v>
      </c>
    </row>
    <row r="977" spans="1:41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60"/>
        <v>1</v>
      </c>
      <c r="AM977" t="str">
        <f t="shared" si="61"/>
        <v>16-20 Years</v>
      </c>
      <c r="AN977" t="str">
        <f t="shared" si="62"/>
        <v>3-5 Years</v>
      </c>
      <c r="AO977" t="str">
        <f t="shared" si="63"/>
        <v>46-55 Years</v>
      </c>
    </row>
    <row r="978" spans="1:41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60"/>
        <v>1</v>
      </c>
      <c r="AM978" t="str">
        <f t="shared" si="61"/>
        <v>16-20 Years</v>
      </c>
      <c r="AN978" t="str">
        <f t="shared" si="62"/>
        <v>11-15 Years</v>
      </c>
      <c r="AO978" t="str">
        <f t="shared" si="63"/>
        <v>56+ years</v>
      </c>
    </row>
    <row r="979" spans="1:41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60"/>
        <v>1</v>
      </c>
      <c r="AM979" t="str">
        <f t="shared" si="61"/>
        <v>3-5 Years</v>
      </c>
      <c r="AN979" t="str">
        <f t="shared" si="62"/>
        <v>0-2 Years</v>
      </c>
      <c r="AO979" t="str">
        <f t="shared" si="63"/>
        <v>26-35 years</v>
      </c>
    </row>
    <row r="980" spans="1:41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60"/>
        <v>1</v>
      </c>
      <c r="AM980" t="str">
        <f t="shared" si="61"/>
        <v>11-15 Years</v>
      </c>
      <c r="AN980" t="str">
        <f t="shared" si="62"/>
        <v>11-15 Years</v>
      </c>
      <c r="AO980" t="str">
        <f t="shared" si="63"/>
        <v>36-45 years</v>
      </c>
    </row>
    <row r="981" spans="1:41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60"/>
        <v>1</v>
      </c>
      <c r="AM981" t="str">
        <f t="shared" si="61"/>
        <v>6-10 Years</v>
      </c>
      <c r="AN981" t="str">
        <f t="shared" si="62"/>
        <v>6-10 Years</v>
      </c>
      <c r="AO981" t="str">
        <f t="shared" si="63"/>
        <v>26-35 years</v>
      </c>
    </row>
    <row r="982" spans="1:41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60"/>
        <v>1</v>
      </c>
      <c r="AM982" t="str">
        <f t="shared" si="61"/>
        <v>0-2 Years</v>
      </c>
      <c r="AN982" t="str">
        <f t="shared" si="62"/>
        <v>0-2 Years</v>
      </c>
      <c r="AO982" t="str">
        <f t="shared" si="63"/>
        <v>26-35 years</v>
      </c>
    </row>
    <row r="983" spans="1:41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60"/>
        <v>1</v>
      </c>
      <c r="AM983" t="str">
        <f t="shared" si="61"/>
        <v>3-5 Years</v>
      </c>
      <c r="AN983" t="str">
        <f t="shared" si="62"/>
        <v>3-5 Years</v>
      </c>
      <c r="AO983" t="str">
        <f t="shared" si="63"/>
        <v>26-35 years</v>
      </c>
    </row>
    <row r="984" spans="1:41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60"/>
        <v>1</v>
      </c>
      <c r="AM984" t="str">
        <f t="shared" si="61"/>
        <v>3-5 Years</v>
      </c>
      <c r="AN984" t="str">
        <f t="shared" si="62"/>
        <v>0-2 Years</v>
      </c>
      <c r="AO984" t="str">
        <f t="shared" si="63"/>
        <v>36-45 years</v>
      </c>
    </row>
    <row r="985" spans="1:41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60"/>
        <v>1</v>
      </c>
      <c r="AM985" t="str">
        <f t="shared" si="61"/>
        <v>11-15 Years</v>
      </c>
      <c r="AN985" t="str">
        <f t="shared" si="62"/>
        <v>3-5 Years</v>
      </c>
      <c r="AO985" t="str">
        <f t="shared" si="63"/>
        <v>26-35 years</v>
      </c>
    </row>
    <row r="986" spans="1:41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60"/>
        <v>1</v>
      </c>
      <c r="AM986" t="str">
        <f t="shared" si="61"/>
        <v>3-5 Years</v>
      </c>
      <c r="AN986" t="str">
        <f t="shared" si="62"/>
        <v>0-2 Years</v>
      </c>
      <c r="AO986" t="str">
        <f t="shared" si="63"/>
        <v>26-35 years</v>
      </c>
    </row>
    <row r="987" spans="1:41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60"/>
        <v>1</v>
      </c>
      <c r="AM987" t="str">
        <f t="shared" si="61"/>
        <v>6-10 Years</v>
      </c>
      <c r="AN987" t="str">
        <f t="shared" si="62"/>
        <v>6-10 Years</v>
      </c>
      <c r="AO987" t="str">
        <f t="shared" si="63"/>
        <v>26-35 years</v>
      </c>
    </row>
    <row r="988" spans="1:41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60"/>
        <v>1</v>
      </c>
      <c r="AM988" t="str">
        <f t="shared" si="61"/>
        <v>3-5 Years</v>
      </c>
      <c r="AN988" t="str">
        <f t="shared" si="62"/>
        <v>0-2 Years</v>
      </c>
      <c r="AO988" t="str">
        <f t="shared" si="63"/>
        <v>36-45 years</v>
      </c>
    </row>
    <row r="989" spans="1:41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60"/>
        <v>1</v>
      </c>
      <c r="AM989" t="str">
        <f t="shared" si="61"/>
        <v>3-5 Years</v>
      </c>
      <c r="AN989" t="str">
        <f t="shared" si="62"/>
        <v>3-5 Years</v>
      </c>
      <c r="AO989" t="str">
        <f t="shared" si="63"/>
        <v>46-55 Years</v>
      </c>
    </row>
    <row r="990" spans="1:41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60"/>
        <v>1</v>
      </c>
      <c r="AM990" t="str">
        <f t="shared" si="61"/>
        <v>6-10 Years</v>
      </c>
      <c r="AN990" t="str">
        <f t="shared" si="62"/>
        <v>3-5 Years</v>
      </c>
      <c r="AO990" t="str">
        <f t="shared" si="63"/>
        <v>36-45 years</v>
      </c>
    </row>
    <row r="991" spans="1:41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60"/>
        <v>1</v>
      </c>
      <c r="AM991" t="str">
        <f t="shared" si="61"/>
        <v>6-10 Years</v>
      </c>
      <c r="AN991" t="str">
        <f t="shared" si="62"/>
        <v>0-2 Years</v>
      </c>
      <c r="AO991" t="str">
        <f t="shared" si="63"/>
        <v>36-45 years</v>
      </c>
    </row>
    <row r="992" spans="1:41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60"/>
        <v>1</v>
      </c>
      <c r="AM992" t="str">
        <f t="shared" si="61"/>
        <v>3-5 Years</v>
      </c>
      <c r="AN992" t="str">
        <f t="shared" si="62"/>
        <v>0-2 Years</v>
      </c>
      <c r="AO992" t="str">
        <f t="shared" si="63"/>
        <v>26-35 years</v>
      </c>
    </row>
    <row r="993" spans="1:41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60"/>
        <v>1</v>
      </c>
      <c r="AM993" t="str">
        <f t="shared" si="61"/>
        <v>3-5 Years</v>
      </c>
      <c r="AN993" t="str">
        <f t="shared" si="62"/>
        <v>0-2 Years</v>
      </c>
      <c r="AO993" t="str">
        <f t="shared" si="63"/>
        <v>26-35 years</v>
      </c>
    </row>
    <row r="994" spans="1:41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60"/>
        <v>1</v>
      </c>
      <c r="AM994" t="str">
        <f t="shared" si="61"/>
        <v>6-10 Years</v>
      </c>
      <c r="AN994" t="str">
        <f t="shared" si="62"/>
        <v>0-2 Years</v>
      </c>
      <c r="AO994" t="str">
        <f t="shared" si="63"/>
        <v>36-45 years</v>
      </c>
    </row>
    <row r="995" spans="1:41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60"/>
        <v>1</v>
      </c>
      <c r="AM995" t="str">
        <f t="shared" si="61"/>
        <v>3-5 Years</v>
      </c>
      <c r="AN995" t="str">
        <f t="shared" si="62"/>
        <v>0-2 Years</v>
      </c>
      <c r="AO995" t="str">
        <f t="shared" si="63"/>
        <v>18-25 years</v>
      </c>
    </row>
    <row r="996" spans="1:41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60"/>
        <v>1</v>
      </c>
      <c r="AM996" t="str">
        <f t="shared" si="61"/>
        <v>3-5 Years</v>
      </c>
      <c r="AN996" t="str">
        <f t="shared" si="62"/>
        <v>0-2 Years</v>
      </c>
      <c r="AO996" t="str">
        <f t="shared" si="63"/>
        <v>46-55 Years</v>
      </c>
    </row>
    <row r="997" spans="1:41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60"/>
        <v>1</v>
      </c>
      <c r="AM997" t="str">
        <f t="shared" si="61"/>
        <v>16-20 Years</v>
      </c>
      <c r="AN997" t="str">
        <f t="shared" si="62"/>
        <v>0-2 Years</v>
      </c>
      <c r="AO997" t="str">
        <f t="shared" si="63"/>
        <v>36-45 years</v>
      </c>
    </row>
    <row r="998" spans="1:41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60"/>
        <v>1</v>
      </c>
      <c r="AM998" t="str">
        <f t="shared" si="61"/>
        <v>6-10 Years</v>
      </c>
      <c r="AN998" t="str">
        <f t="shared" si="62"/>
        <v>3-5 Years</v>
      </c>
      <c r="AO998" t="str">
        <f t="shared" si="63"/>
        <v>26-35 years</v>
      </c>
    </row>
    <row r="999" spans="1:41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60"/>
        <v>1</v>
      </c>
      <c r="AM999" t="str">
        <f t="shared" si="61"/>
        <v>6-10 Years</v>
      </c>
      <c r="AN999" t="str">
        <f t="shared" si="62"/>
        <v>6-10 Years</v>
      </c>
      <c r="AO999" t="str">
        <f t="shared" si="63"/>
        <v>26-35 years</v>
      </c>
    </row>
    <row r="1000" spans="1:41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60"/>
        <v>1</v>
      </c>
      <c r="AM1000" t="str">
        <f t="shared" si="61"/>
        <v>3-5 Years</v>
      </c>
      <c r="AN1000" t="str">
        <f t="shared" si="62"/>
        <v>0-2 Years</v>
      </c>
      <c r="AO1000" t="str">
        <f t="shared" si="63"/>
        <v>26-35 years</v>
      </c>
    </row>
    <row r="1001" spans="1:41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60"/>
        <v>1</v>
      </c>
      <c r="AM1001" t="str">
        <f t="shared" si="61"/>
        <v>16-20 Years</v>
      </c>
      <c r="AN1001" t="str">
        <f t="shared" si="62"/>
        <v>0-2 Years</v>
      </c>
      <c r="AO1001" t="str">
        <f t="shared" si="63"/>
        <v>36-45 years</v>
      </c>
    </row>
    <row r="1002" spans="1:41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60"/>
        <v>1</v>
      </c>
      <c r="AM1002" t="str">
        <f t="shared" si="61"/>
        <v>3-5 Years</v>
      </c>
      <c r="AN1002" t="str">
        <f t="shared" si="62"/>
        <v>0-2 Years</v>
      </c>
      <c r="AO1002" t="str">
        <f t="shared" si="63"/>
        <v>46-55 Years</v>
      </c>
    </row>
    <row r="1003" spans="1:41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60"/>
        <v>1</v>
      </c>
      <c r="AM1003" t="str">
        <f t="shared" si="61"/>
        <v>3-5 Years</v>
      </c>
      <c r="AN1003" t="str">
        <f t="shared" si="62"/>
        <v>0-2 Years</v>
      </c>
      <c r="AO1003" t="str">
        <f t="shared" si="63"/>
        <v>36-45 years</v>
      </c>
    </row>
    <row r="1004" spans="1:41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60"/>
        <v>1</v>
      </c>
      <c r="AM1004" t="str">
        <f t="shared" si="61"/>
        <v>0-2 Years</v>
      </c>
      <c r="AN1004" t="str">
        <f t="shared" si="62"/>
        <v>0-2 Years</v>
      </c>
      <c r="AO1004" t="str">
        <f t="shared" si="63"/>
        <v>26-35 years</v>
      </c>
    </row>
    <row r="1005" spans="1:41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60"/>
        <v>1</v>
      </c>
      <c r="AM1005" t="str">
        <f t="shared" si="61"/>
        <v>3-5 Years</v>
      </c>
      <c r="AN1005" t="str">
        <f t="shared" si="62"/>
        <v>0-2 Years</v>
      </c>
      <c r="AO1005" t="str">
        <f t="shared" si="63"/>
        <v>18-25 years</v>
      </c>
    </row>
    <row r="1006" spans="1:41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60"/>
        <v>1</v>
      </c>
      <c r="AM1006" t="str">
        <f t="shared" si="61"/>
        <v>6-10 Years</v>
      </c>
      <c r="AN1006" t="str">
        <f t="shared" si="62"/>
        <v>0-2 Years</v>
      </c>
      <c r="AO1006" t="str">
        <f t="shared" si="63"/>
        <v>26-35 years</v>
      </c>
    </row>
    <row r="1007" spans="1:41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60"/>
        <v>1</v>
      </c>
      <c r="AM1007" t="str">
        <f t="shared" si="61"/>
        <v>6-10 Years</v>
      </c>
      <c r="AN1007" t="str">
        <f t="shared" si="62"/>
        <v>0-2 Years</v>
      </c>
      <c r="AO1007" t="str">
        <f t="shared" si="63"/>
        <v>26-35 years</v>
      </c>
    </row>
    <row r="1008" spans="1:41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60"/>
        <v>1</v>
      </c>
      <c r="AM1008" t="str">
        <f t="shared" si="61"/>
        <v>3-5 Years</v>
      </c>
      <c r="AN1008" t="str">
        <f t="shared" si="62"/>
        <v>0-2 Years</v>
      </c>
      <c r="AO1008" t="str">
        <f t="shared" si="63"/>
        <v>46-55 Years</v>
      </c>
    </row>
    <row r="1009" spans="1:41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60"/>
        <v>1</v>
      </c>
      <c r="AM1009" t="str">
        <f t="shared" si="61"/>
        <v>6-10 Years</v>
      </c>
      <c r="AN1009" t="str">
        <f t="shared" si="62"/>
        <v>6-10 Years</v>
      </c>
      <c r="AO1009" t="str">
        <f t="shared" si="63"/>
        <v>26-35 years</v>
      </c>
    </row>
    <row r="1010" spans="1:41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60"/>
        <v>1</v>
      </c>
      <c r="AM1010" t="str">
        <f t="shared" si="61"/>
        <v>16-20 Years</v>
      </c>
      <c r="AN1010" t="str">
        <f t="shared" si="62"/>
        <v>11-15 Years</v>
      </c>
      <c r="AO1010" t="str">
        <f t="shared" si="63"/>
        <v>46-55 Years</v>
      </c>
    </row>
    <row r="1011" spans="1:41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60"/>
        <v>1</v>
      </c>
      <c r="AM1011" t="str">
        <f t="shared" si="61"/>
        <v>6-10 Years</v>
      </c>
      <c r="AN1011" t="str">
        <f t="shared" si="62"/>
        <v>0-2 Years</v>
      </c>
      <c r="AO1011" t="str">
        <f t="shared" si="63"/>
        <v>56+ years</v>
      </c>
    </row>
    <row r="1012" spans="1:41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60"/>
        <v>1</v>
      </c>
      <c r="AM1012" t="str">
        <f t="shared" si="61"/>
        <v>6-10 Years</v>
      </c>
      <c r="AN1012" t="str">
        <f t="shared" si="62"/>
        <v>0-2 Years</v>
      </c>
      <c r="AO1012" t="str">
        <f t="shared" si="63"/>
        <v>46-55 Years</v>
      </c>
    </row>
    <row r="1013" spans="1:41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60"/>
        <v>1</v>
      </c>
      <c r="AM1013" t="str">
        <f t="shared" si="61"/>
        <v>3-5 Years</v>
      </c>
      <c r="AN1013" t="str">
        <f t="shared" si="62"/>
        <v>0-2 Years</v>
      </c>
      <c r="AO1013" t="str">
        <f t="shared" si="63"/>
        <v>36-45 years</v>
      </c>
    </row>
    <row r="1014" spans="1:41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60"/>
        <v>1</v>
      </c>
      <c r="AM1014" t="str">
        <f t="shared" si="61"/>
        <v>0-2 Years</v>
      </c>
      <c r="AN1014" t="str">
        <f t="shared" si="62"/>
        <v>0-2 Years</v>
      </c>
      <c r="AO1014" t="str">
        <f t="shared" si="63"/>
        <v>26-35 years</v>
      </c>
    </row>
    <row r="1015" spans="1:41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60"/>
        <v>1</v>
      </c>
      <c r="AM1015" t="str">
        <f t="shared" si="61"/>
        <v>3-5 Years</v>
      </c>
      <c r="AN1015" t="str">
        <f t="shared" si="62"/>
        <v>0-2 Years</v>
      </c>
      <c r="AO1015" t="str">
        <f t="shared" si="63"/>
        <v>26-35 years</v>
      </c>
    </row>
    <row r="1016" spans="1:41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60"/>
        <v>1</v>
      </c>
      <c r="AM1016" t="str">
        <f t="shared" si="61"/>
        <v>3-5 Years</v>
      </c>
      <c r="AN1016" t="str">
        <f t="shared" si="62"/>
        <v>0-2 Years</v>
      </c>
      <c r="AO1016" t="str">
        <f t="shared" si="63"/>
        <v>26-35 years</v>
      </c>
    </row>
    <row r="1017" spans="1:41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60"/>
        <v>1</v>
      </c>
      <c r="AM1017" t="str">
        <f t="shared" si="61"/>
        <v>3-5 Years</v>
      </c>
      <c r="AN1017" t="str">
        <f t="shared" si="62"/>
        <v>0-2 Years</v>
      </c>
      <c r="AO1017" t="str">
        <f t="shared" si="63"/>
        <v>26-35 years</v>
      </c>
    </row>
    <row r="1018" spans="1:41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60"/>
        <v>1</v>
      </c>
      <c r="AM1018" t="str">
        <f t="shared" si="61"/>
        <v>0-2 Years</v>
      </c>
      <c r="AN1018" t="str">
        <f t="shared" si="62"/>
        <v>0-2 Years</v>
      </c>
      <c r="AO1018" t="str">
        <f t="shared" si="63"/>
        <v>26-35 years</v>
      </c>
    </row>
    <row r="1019" spans="1:41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60"/>
        <v>1</v>
      </c>
      <c r="AM1019" t="str">
        <f t="shared" si="61"/>
        <v>3-5 Years</v>
      </c>
      <c r="AN1019" t="str">
        <f t="shared" si="62"/>
        <v>0-2 Years</v>
      </c>
      <c r="AO1019" t="str">
        <f t="shared" si="63"/>
        <v>26-35 years</v>
      </c>
    </row>
    <row r="1020" spans="1:41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60"/>
        <v>1</v>
      </c>
      <c r="AM1020" t="str">
        <f t="shared" si="61"/>
        <v>6-10 Years</v>
      </c>
      <c r="AN1020" t="str">
        <f t="shared" si="62"/>
        <v>0-2 Years</v>
      </c>
      <c r="AO1020" t="str">
        <f t="shared" si="63"/>
        <v>36-45 years</v>
      </c>
    </row>
    <row r="1021" spans="1:41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60"/>
        <v>1</v>
      </c>
      <c r="AM1021" t="str">
        <f t="shared" si="61"/>
        <v>3-5 Years</v>
      </c>
      <c r="AN1021" t="str">
        <f t="shared" si="62"/>
        <v>0-2 Years</v>
      </c>
      <c r="AO1021" t="str">
        <f t="shared" si="63"/>
        <v>36-45 years</v>
      </c>
    </row>
    <row r="1022" spans="1:41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60"/>
        <v>1</v>
      </c>
      <c r="AM1022" t="str">
        <f t="shared" si="61"/>
        <v>6-10 Years</v>
      </c>
      <c r="AN1022" t="str">
        <f t="shared" si="62"/>
        <v>0-2 Years</v>
      </c>
      <c r="AO1022" t="str">
        <f t="shared" si="63"/>
        <v>46-55 Years</v>
      </c>
    </row>
    <row r="1023" spans="1:41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60"/>
        <v>1</v>
      </c>
      <c r="AM1023" t="str">
        <f t="shared" si="61"/>
        <v>3-5 Years</v>
      </c>
      <c r="AN1023" t="str">
        <f t="shared" si="62"/>
        <v>0-2 Years</v>
      </c>
      <c r="AO1023" t="str">
        <f t="shared" si="63"/>
        <v>18-25 years</v>
      </c>
    </row>
    <row r="1024" spans="1:41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60"/>
        <v>1</v>
      </c>
      <c r="AM1024" t="str">
        <f t="shared" si="61"/>
        <v>6-10 Years</v>
      </c>
      <c r="AN1024" t="str">
        <f t="shared" si="62"/>
        <v>0-2 Years</v>
      </c>
      <c r="AO1024" t="str">
        <f t="shared" si="63"/>
        <v>36-45 years</v>
      </c>
    </row>
    <row r="1025" spans="1:41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60"/>
        <v>1</v>
      </c>
      <c r="AM1025" t="str">
        <f t="shared" si="61"/>
        <v>3-5 Years</v>
      </c>
      <c r="AN1025" t="str">
        <f t="shared" si="62"/>
        <v>0-2 Years</v>
      </c>
      <c r="AO1025" t="str">
        <f t="shared" si="63"/>
        <v>56+ years</v>
      </c>
    </row>
    <row r="1026" spans="1:41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si="60"/>
        <v>1</v>
      </c>
      <c r="AM1026" t="str">
        <f t="shared" si="61"/>
        <v>16-20 Years</v>
      </c>
      <c r="AN1026" t="str">
        <f t="shared" si="62"/>
        <v>3-5 Years</v>
      </c>
      <c r="AO1026" t="str">
        <f t="shared" si="63"/>
        <v>46-55 Years</v>
      </c>
    </row>
    <row r="1027" spans="1:41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ref="AJ1027:AJ1090" si="64">COUNTIFS($A$2:$A$1471,A1027,$B$2:$B$1471,B1027,$C$2:$C$1471,C1027,$D$2:$D$1471,D1027,$E$2:$E$1471,E1027,$F$2:$F$1471,F1027,$G$2:$G$1471,G1027,$H$2:$H$1471,H1027,$I$2:$I$1471,I1027,$J$2:$J$1471,J1027,$K$2:$K$1471,K1027,$L$2:$L$1471,L1027,$M$2:$M$1471,M1027,$N$2:$N$1471,N1027,$O$2:$O$1471,O1027,$P$2:$P$1471,P1027,$Q$2:$Q$1471,Q1027,$R$2:$R$1471,R1027,$S$2:$S$1471,S1027,$T$2:$T$1471,T1027,$U$2:$U$1471,U1027,$V$2:$V$1471,V1027,$W$2:$W$1471,W1027,$X$2:$X$1471,X1027,$Y$2:$Y$1471,Y1027,$Z$2:$Z$1471,Z1027,$AA$2:$AA$1471,AA1027,$AB$2:$AB$1471,AB1027,$AC$2:$AC$1471,AC1027,$AD$2:$AD$1471,AD1027,$AE$2:$AE$1471,AE1027,$AF$2:$AF$1471,AF1027,$AG$2:$AG$1471,AG1027,$AH$2:$AH$1471,AH1027,$AI$2:$AI$1471,AI1027)</f>
        <v>1</v>
      </c>
      <c r="AM1027" t="str">
        <f t="shared" ref="AM1027:AM1090" si="65">IF(AF1027&lt;=2,"0-2 Years",IF(AF1027&lt;=5,"3-5 Years",IF(AF1027&lt;=10,"6-10 Years",IF(AF1027&lt;=15,"11-15 Years",IF(AF1027&lt;=20,"16-20 Years","21+ Years")))))</f>
        <v>3-5 Years</v>
      </c>
      <c r="AN1027" t="str">
        <f t="shared" ref="AN1027:AN1090" si="66">IF(AH1027&lt;=2,"0-2 Years",IF(AH1027&lt;=5,"3-5 Years",IF(AH1027&lt;=10,"6-10 Years","11-15 Years")))</f>
        <v>0-2 Years</v>
      </c>
      <c r="AO1027" t="str">
        <f t="shared" ref="AO1027:AO1090" si="67">IF(A1027&lt;=25,"18-25 years",IF(A1027&lt;=35,"26-35 years",IF(A1027&lt;=45,"36-45 years",IF(A1027&lt;=55,"46-55 Years","56+ years"))))</f>
        <v>18-25 years</v>
      </c>
    </row>
    <row r="1028" spans="1:41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64"/>
        <v>1</v>
      </c>
      <c r="AM1028" t="str">
        <f t="shared" si="65"/>
        <v>3-5 Years</v>
      </c>
      <c r="AN1028" t="str">
        <f t="shared" si="66"/>
        <v>0-2 Years</v>
      </c>
      <c r="AO1028" t="str">
        <f t="shared" si="67"/>
        <v>26-35 years</v>
      </c>
    </row>
    <row r="1029" spans="1:41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64"/>
        <v>1</v>
      </c>
      <c r="AM1029" t="str">
        <f t="shared" si="65"/>
        <v>3-5 Years</v>
      </c>
      <c r="AN1029" t="str">
        <f t="shared" si="66"/>
        <v>0-2 Years</v>
      </c>
      <c r="AO1029" t="str">
        <f t="shared" si="67"/>
        <v>26-35 years</v>
      </c>
    </row>
    <row r="1030" spans="1:41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64"/>
        <v>1</v>
      </c>
      <c r="AM1030" t="str">
        <f t="shared" si="65"/>
        <v>3-5 Years</v>
      </c>
      <c r="AN1030" t="str">
        <f t="shared" si="66"/>
        <v>0-2 Years</v>
      </c>
      <c r="AO1030" t="str">
        <f t="shared" si="67"/>
        <v>36-45 years</v>
      </c>
    </row>
    <row r="1031" spans="1:41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64"/>
        <v>1</v>
      </c>
      <c r="AM1031" t="str">
        <f t="shared" si="65"/>
        <v>6-10 Years</v>
      </c>
      <c r="AN1031" t="str">
        <f t="shared" si="66"/>
        <v>0-2 Years</v>
      </c>
      <c r="AO1031" t="str">
        <f t="shared" si="67"/>
        <v>36-45 years</v>
      </c>
    </row>
    <row r="1032" spans="1:41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64"/>
        <v>1</v>
      </c>
      <c r="AM1032" t="str">
        <f t="shared" si="65"/>
        <v>11-15 Years</v>
      </c>
      <c r="AN1032" t="str">
        <f t="shared" si="66"/>
        <v>6-10 Years</v>
      </c>
      <c r="AO1032" t="str">
        <f t="shared" si="67"/>
        <v>26-35 years</v>
      </c>
    </row>
    <row r="1033" spans="1:41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64"/>
        <v>1</v>
      </c>
      <c r="AM1033" t="str">
        <f t="shared" si="65"/>
        <v>6-10 Years</v>
      </c>
      <c r="AN1033" t="str">
        <f t="shared" si="66"/>
        <v>3-5 Years</v>
      </c>
      <c r="AO1033" t="str">
        <f t="shared" si="67"/>
        <v>46-55 Years</v>
      </c>
    </row>
    <row r="1034" spans="1:41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64"/>
        <v>1</v>
      </c>
      <c r="AM1034" t="str">
        <f t="shared" si="65"/>
        <v>0-2 Years</v>
      </c>
      <c r="AN1034" t="str">
        <f t="shared" si="66"/>
        <v>0-2 Years</v>
      </c>
      <c r="AO1034" t="str">
        <f t="shared" si="67"/>
        <v>36-45 years</v>
      </c>
    </row>
    <row r="1035" spans="1:41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64"/>
        <v>1</v>
      </c>
      <c r="AM1035" t="str">
        <f t="shared" si="65"/>
        <v>6-10 Years</v>
      </c>
      <c r="AN1035" t="str">
        <f t="shared" si="66"/>
        <v>3-5 Years</v>
      </c>
      <c r="AO1035" t="str">
        <f t="shared" si="67"/>
        <v>26-35 years</v>
      </c>
    </row>
    <row r="1036" spans="1:41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64"/>
        <v>1</v>
      </c>
      <c r="AM1036" t="str">
        <f t="shared" si="65"/>
        <v>6-10 Years</v>
      </c>
      <c r="AN1036" t="str">
        <f t="shared" si="66"/>
        <v>0-2 Years</v>
      </c>
      <c r="AO1036" t="str">
        <f t="shared" si="67"/>
        <v>36-45 years</v>
      </c>
    </row>
    <row r="1037" spans="1:41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64"/>
        <v>1</v>
      </c>
      <c r="AM1037" t="str">
        <f t="shared" si="65"/>
        <v>3-5 Years</v>
      </c>
      <c r="AN1037" t="str">
        <f t="shared" si="66"/>
        <v>0-2 Years</v>
      </c>
      <c r="AO1037" t="str">
        <f t="shared" si="67"/>
        <v>26-35 years</v>
      </c>
    </row>
    <row r="1038" spans="1:41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64"/>
        <v>1</v>
      </c>
      <c r="AM1038" t="str">
        <f t="shared" si="65"/>
        <v>0-2 Years</v>
      </c>
      <c r="AN1038" t="str">
        <f t="shared" si="66"/>
        <v>0-2 Years</v>
      </c>
      <c r="AO1038" t="str">
        <f t="shared" si="67"/>
        <v>26-35 years</v>
      </c>
    </row>
    <row r="1039" spans="1:41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64"/>
        <v>1</v>
      </c>
      <c r="AM1039" t="str">
        <f t="shared" si="65"/>
        <v>3-5 Years</v>
      </c>
      <c r="AN1039" t="str">
        <f t="shared" si="66"/>
        <v>0-2 Years</v>
      </c>
      <c r="AO1039" t="str">
        <f t="shared" si="67"/>
        <v>36-45 years</v>
      </c>
    </row>
    <row r="1040" spans="1:41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64"/>
        <v>1</v>
      </c>
      <c r="AM1040" t="str">
        <f t="shared" si="65"/>
        <v>0-2 Years</v>
      </c>
      <c r="AN1040" t="str">
        <f t="shared" si="66"/>
        <v>0-2 Years</v>
      </c>
      <c r="AO1040" t="str">
        <f t="shared" si="67"/>
        <v>46-55 Years</v>
      </c>
    </row>
    <row r="1041" spans="1:41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64"/>
        <v>1</v>
      </c>
      <c r="AM1041" t="str">
        <f t="shared" si="65"/>
        <v>0-2 Years</v>
      </c>
      <c r="AN1041" t="str">
        <f t="shared" si="66"/>
        <v>0-2 Years</v>
      </c>
      <c r="AO1041" t="str">
        <f t="shared" si="67"/>
        <v>26-35 years</v>
      </c>
    </row>
    <row r="1042" spans="1:41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64"/>
        <v>1</v>
      </c>
      <c r="AM1042" t="str">
        <f t="shared" si="65"/>
        <v>6-10 Years</v>
      </c>
      <c r="AN1042" t="str">
        <f t="shared" si="66"/>
        <v>3-5 Years</v>
      </c>
      <c r="AO1042" t="str">
        <f t="shared" si="67"/>
        <v>36-45 years</v>
      </c>
    </row>
    <row r="1043" spans="1:41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64"/>
        <v>1</v>
      </c>
      <c r="AM1043" t="str">
        <f t="shared" si="65"/>
        <v>3-5 Years</v>
      </c>
      <c r="AN1043" t="str">
        <f t="shared" si="66"/>
        <v>0-2 Years</v>
      </c>
      <c r="AO1043" t="str">
        <f t="shared" si="67"/>
        <v>26-35 years</v>
      </c>
    </row>
    <row r="1044" spans="1:41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64"/>
        <v>1</v>
      </c>
      <c r="AM1044" t="str">
        <f t="shared" si="65"/>
        <v>3-5 Years</v>
      </c>
      <c r="AN1044" t="str">
        <f t="shared" si="66"/>
        <v>0-2 Years</v>
      </c>
      <c r="AO1044" t="str">
        <f t="shared" si="67"/>
        <v>36-45 years</v>
      </c>
    </row>
    <row r="1045" spans="1:41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64"/>
        <v>1</v>
      </c>
      <c r="AM1045" t="str">
        <f t="shared" si="65"/>
        <v>6-10 Years</v>
      </c>
      <c r="AN1045" t="str">
        <f t="shared" si="66"/>
        <v>6-10 Years</v>
      </c>
      <c r="AO1045" t="str">
        <f t="shared" si="67"/>
        <v>46-55 Years</v>
      </c>
    </row>
    <row r="1046" spans="1:41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64"/>
        <v>1</v>
      </c>
      <c r="AM1046" t="str">
        <f t="shared" si="65"/>
        <v>3-5 Years</v>
      </c>
      <c r="AN1046" t="str">
        <f t="shared" si="66"/>
        <v>0-2 Years</v>
      </c>
      <c r="AO1046" t="str">
        <f t="shared" si="67"/>
        <v>46-55 Years</v>
      </c>
    </row>
    <row r="1047" spans="1:41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64"/>
        <v>1</v>
      </c>
      <c r="AM1047" t="str">
        <f t="shared" si="65"/>
        <v>3-5 Years</v>
      </c>
      <c r="AN1047" t="str">
        <f t="shared" si="66"/>
        <v>0-2 Years</v>
      </c>
      <c r="AO1047" t="str">
        <f t="shared" si="67"/>
        <v>36-45 years</v>
      </c>
    </row>
    <row r="1048" spans="1:41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64"/>
        <v>1</v>
      </c>
      <c r="AM1048" t="str">
        <f t="shared" si="65"/>
        <v>3-5 Years</v>
      </c>
      <c r="AN1048" t="str">
        <f t="shared" si="66"/>
        <v>0-2 Years</v>
      </c>
      <c r="AO1048" t="str">
        <f t="shared" si="67"/>
        <v>36-45 years</v>
      </c>
    </row>
    <row r="1049" spans="1:41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64"/>
        <v>1</v>
      </c>
      <c r="AM1049" t="str">
        <f t="shared" si="65"/>
        <v>3-5 Years</v>
      </c>
      <c r="AN1049" t="str">
        <f t="shared" si="66"/>
        <v>0-2 Years</v>
      </c>
      <c r="AO1049" t="str">
        <f t="shared" si="67"/>
        <v>26-35 years</v>
      </c>
    </row>
    <row r="1050" spans="1:41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64"/>
        <v>1</v>
      </c>
      <c r="AM1050" t="str">
        <f t="shared" si="65"/>
        <v>11-15 Years</v>
      </c>
      <c r="AN1050" t="str">
        <f t="shared" si="66"/>
        <v>3-5 Years</v>
      </c>
      <c r="AO1050" t="str">
        <f t="shared" si="67"/>
        <v>26-35 years</v>
      </c>
    </row>
    <row r="1051" spans="1:41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64"/>
        <v>1</v>
      </c>
      <c r="AM1051" t="str">
        <f t="shared" si="65"/>
        <v>0-2 Years</v>
      </c>
      <c r="AN1051" t="str">
        <f t="shared" si="66"/>
        <v>0-2 Years</v>
      </c>
      <c r="AO1051" t="str">
        <f t="shared" si="67"/>
        <v>26-35 years</v>
      </c>
    </row>
    <row r="1052" spans="1:41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64"/>
        <v>1</v>
      </c>
      <c r="AM1052" t="str">
        <f t="shared" si="65"/>
        <v>11-15 Years</v>
      </c>
      <c r="AN1052" t="str">
        <f t="shared" si="66"/>
        <v>3-5 Years</v>
      </c>
      <c r="AO1052" t="str">
        <f t="shared" si="67"/>
        <v>36-45 years</v>
      </c>
    </row>
    <row r="1053" spans="1:41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64"/>
        <v>1</v>
      </c>
      <c r="AM1053" t="str">
        <f t="shared" si="65"/>
        <v>0-2 Years</v>
      </c>
      <c r="AN1053" t="str">
        <f t="shared" si="66"/>
        <v>0-2 Years</v>
      </c>
      <c r="AO1053" t="str">
        <f t="shared" si="67"/>
        <v>36-45 years</v>
      </c>
    </row>
    <row r="1054" spans="1:41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64"/>
        <v>1</v>
      </c>
      <c r="AM1054" t="str">
        <f t="shared" si="65"/>
        <v>0-2 Years</v>
      </c>
      <c r="AN1054" t="str">
        <f t="shared" si="66"/>
        <v>0-2 Years</v>
      </c>
      <c r="AO1054" t="str">
        <f t="shared" si="67"/>
        <v>26-35 years</v>
      </c>
    </row>
    <row r="1055" spans="1:41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64"/>
        <v>1</v>
      </c>
      <c r="AM1055" t="str">
        <f t="shared" si="65"/>
        <v>11-15 Years</v>
      </c>
      <c r="AN1055" t="str">
        <f t="shared" si="66"/>
        <v>0-2 Years</v>
      </c>
      <c r="AO1055" t="str">
        <f t="shared" si="67"/>
        <v>56+ years</v>
      </c>
    </row>
    <row r="1056" spans="1:41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64"/>
        <v>1</v>
      </c>
      <c r="AM1056" t="str">
        <f t="shared" si="65"/>
        <v>6-10 Years</v>
      </c>
      <c r="AN1056" t="str">
        <f t="shared" si="66"/>
        <v>0-2 Years</v>
      </c>
      <c r="AO1056" t="str">
        <f t="shared" si="67"/>
        <v>46-55 Years</v>
      </c>
    </row>
    <row r="1057" spans="1:41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64"/>
        <v>1</v>
      </c>
      <c r="AM1057" t="str">
        <f t="shared" si="65"/>
        <v>11-15 Years</v>
      </c>
      <c r="AN1057" t="str">
        <f t="shared" si="66"/>
        <v>6-10 Years</v>
      </c>
      <c r="AO1057" t="str">
        <f t="shared" si="67"/>
        <v>26-35 years</v>
      </c>
    </row>
    <row r="1058" spans="1:41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64"/>
        <v>1</v>
      </c>
      <c r="AM1058" t="str">
        <f t="shared" si="65"/>
        <v>3-5 Years</v>
      </c>
      <c r="AN1058" t="str">
        <f t="shared" si="66"/>
        <v>0-2 Years</v>
      </c>
      <c r="AO1058" t="str">
        <f t="shared" si="67"/>
        <v>26-35 years</v>
      </c>
    </row>
    <row r="1059" spans="1:41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64"/>
        <v>1</v>
      </c>
      <c r="AM1059" t="str">
        <f t="shared" si="65"/>
        <v>3-5 Years</v>
      </c>
      <c r="AN1059" t="str">
        <f t="shared" si="66"/>
        <v>0-2 Years</v>
      </c>
      <c r="AO1059" t="str">
        <f t="shared" si="67"/>
        <v>26-35 years</v>
      </c>
    </row>
    <row r="1060" spans="1:41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64"/>
        <v>1</v>
      </c>
      <c r="AM1060" t="str">
        <f t="shared" si="65"/>
        <v>11-15 Years</v>
      </c>
      <c r="AN1060" t="str">
        <f t="shared" si="66"/>
        <v>6-10 Years</v>
      </c>
      <c r="AO1060" t="str">
        <f t="shared" si="67"/>
        <v>26-35 years</v>
      </c>
    </row>
    <row r="1061" spans="1:41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64"/>
        <v>1</v>
      </c>
      <c r="AM1061" t="str">
        <f t="shared" si="65"/>
        <v>0-2 Years</v>
      </c>
      <c r="AN1061" t="str">
        <f t="shared" si="66"/>
        <v>0-2 Years</v>
      </c>
      <c r="AO1061" t="str">
        <f t="shared" si="67"/>
        <v>26-35 years</v>
      </c>
    </row>
    <row r="1062" spans="1:41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64"/>
        <v>1</v>
      </c>
      <c r="AM1062" t="str">
        <f t="shared" si="65"/>
        <v>0-2 Years</v>
      </c>
      <c r="AN1062" t="str">
        <f t="shared" si="66"/>
        <v>0-2 Years</v>
      </c>
      <c r="AO1062" t="str">
        <f t="shared" si="67"/>
        <v>18-25 years</v>
      </c>
    </row>
    <row r="1063" spans="1:41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64"/>
        <v>1</v>
      </c>
      <c r="AM1063" t="str">
        <f t="shared" si="65"/>
        <v>0-2 Years</v>
      </c>
      <c r="AN1063" t="str">
        <f t="shared" si="66"/>
        <v>0-2 Years</v>
      </c>
      <c r="AO1063" t="str">
        <f t="shared" si="67"/>
        <v>18-25 years</v>
      </c>
    </row>
    <row r="1064" spans="1:41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64"/>
        <v>1</v>
      </c>
      <c r="AM1064" t="str">
        <f t="shared" si="65"/>
        <v>0-2 Years</v>
      </c>
      <c r="AN1064" t="str">
        <f t="shared" si="66"/>
        <v>0-2 Years</v>
      </c>
      <c r="AO1064" t="str">
        <f t="shared" si="67"/>
        <v>36-45 years</v>
      </c>
    </row>
    <row r="1065" spans="1:41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64"/>
        <v>1</v>
      </c>
      <c r="AM1065" t="str">
        <f t="shared" si="65"/>
        <v>6-10 Years</v>
      </c>
      <c r="AN1065" t="str">
        <f t="shared" si="66"/>
        <v>0-2 Years</v>
      </c>
      <c r="AO1065" t="str">
        <f t="shared" si="67"/>
        <v>26-35 years</v>
      </c>
    </row>
    <row r="1066" spans="1:41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64"/>
        <v>1</v>
      </c>
      <c r="AM1066" t="str">
        <f t="shared" si="65"/>
        <v>3-5 Years</v>
      </c>
      <c r="AN1066" t="str">
        <f t="shared" si="66"/>
        <v>0-2 Years</v>
      </c>
      <c r="AO1066" t="str">
        <f t="shared" si="67"/>
        <v>26-35 years</v>
      </c>
    </row>
    <row r="1067" spans="1:41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64"/>
        <v>1</v>
      </c>
      <c r="AM1067" t="str">
        <f t="shared" si="65"/>
        <v>3-5 Years</v>
      </c>
      <c r="AN1067" t="str">
        <f t="shared" si="66"/>
        <v>0-2 Years</v>
      </c>
      <c r="AO1067" t="str">
        <f t="shared" si="67"/>
        <v>46-55 Years</v>
      </c>
    </row>
    <row r="1068" spans="1:41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64"/>
        <v>1</v>
      </c>
      <c r="AM1068" t="str">
        <f t="shared" si="65"/>
        <v>3-5 Years</v>
      </c>
      <c r="AN1068" t="str">
        <f t="shared" si="66"/>
        <v>0-2 Years</v>
      </c>
      <c r="AO1068" t="str">
        <f t="shared" si="67"/>
        <v>26-35 years</v>
      </c>
    </row>
    <row r="1069" spans="1:41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64"/>
        <v>1</v>
      </c>
      <c r="AM1069" t="str">
        <f t="shared" si="65"/>
        <v>3-5 Years</v>
      </c>
      <c r="AN1069" t="str">
        <f t="shared" si="66"/>
        <v>0-2 Years</v>
      </c>
      <c r="AO1069" t="str">
        <f t="shared" si="67"/>
        <v>46-55 Years</v>
      </c>
    </row>
    <row r="1070" spans="1:41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64"/>
        <v>1</v>
      </c>
      <c r="AM1070" t="str">
        <f t="shared" si="65"/>
        <v>0-2 Years</v>
      </c>
      <c r="AN1070" t="str">
        <f t="shared" si="66"/>
        <v>0-2 Years</v>
      </c>
      <c r="AO1070" t="str">
        <f t="shared" si="67"/>
        <v>26-35 years</v>
      </c>
    </row>
    <row r="1071" spans="1:41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64"/>
        <v>1</v>
      </c>
      <c r="AM1071" t="str">
        <f t="shared" si="65"/>
        <v>0-2 Years</v>
      </c>
      <c r="AN1071" t="str">
        <f t="shared" si="66"/>
        <v>0-2 Years</v>
      </c>
      <c r="AO1071" t="str">
        <f t="shared" si="67"/>
        <v>26-35 years</v>
      </c>
    </row>
    <row r="1072" spans="1:41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64"/>
        <v>1</v>
      </c>
      <c r="AM1072" t="str">
        <f t="shared" si="65"/>
        <v>3-5 Years</v>
      </c>
      <c r="AN1072" t="str">
        <f t="shared" si="66"/>
        <v>0-2 Years</v>
      </c>
      <c r="AO1072" t="str">
        <f t="shared" si="67"/>
        <v>26-35 years</v>
      </c>
    </row>
    <row r="1073" spans="1:41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64"/>
        <v>1</v>
      </c>
      <c r="AM1073" t="str">
        <f t="shared" si="65"/>
        <v>3-5 Years</v>
      </c>
      <c r="AN1073" t="str">
        <f t="shared" si="66"/>
        <v>0-2 Years</v>
      </c>
      <c r="AO1073" t="str">
        <f t="shared" si="67"/>
        <v>46-55 Years</v>
      </c>
    </row>
    <row r="1074" spans="1:41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64"/>
        <v>1</v>
      </c>
      <c r="AM1074" t="str">
        <f t="shared" si="65"/>
        <v>3-5 Years</v>
      </c>
      <c r="AN1074" t="str">
        <f t="shared" si="66"/>
        <v>0-2 Years</v>
      </c>
      <c r="AO1074" t="str">
        <f t="shared" si="67"/>
        <v>26-35 years</v>
      </c>
    </row>
    <row r="1075" spans="1:41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64"/>
        <v>1</v>
      </c>
      <c r="AM1075" t="str">
        <f t="shared" si="65"/>
        <v>6-10 Years</v>
      </c>
      <c r="AN1075" t="str">
        <f t="shared" si="66"/>
        <v>0-2 Years</v>
      </c>
      <c r="AO1075" t="str">
        <f t="shared" si="67"/>
        <v>26-35 years</v>
      </c>
    </row>
    <row r="1076" spans="1:41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64"/>
        <v>1</v>
      </c>
      <c r="AM1076" t="str">
        <f t="shared" si="65"/>
        <v>0-2 Years</v>
      </c>
      <c r="AN1076" t="str">
        <f t="shared" si="66"/>
        <v>0-2 Years</v>
      </c>
      <c r="AO1076" t="str">
        <f t="shared" si="67"/>
        <v>26-35 years</v>
      </c>
    </row>
    <row r="1077" spans="1:41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64"/>
        <v>1</v>
      </c>
      <c r="AM1077" t="str">
        <f t="shared" si="65"/>
        <v>3-5 Years</v>
      </c>
      <c r="AN1077" t="str">
        <f t="shared" si="66"/>
        <v>0-2 Years</v>
      </c>
      <c r="AO1077" t="str">
        <f t="shared" si="67"/>
        <v>26-35 years</v>
      </c>
    </row>
    <row r="1078" spans="1:41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64"/>
        <v>1</v>
      </c>
      <c r="AM1078" t="str">
        <f t="shared" si="65"/>
        <v>11-15 Years</v>
      </c>
      <c r="AN1078" t="str">
        <f t="shared" si="66"/>
        <v>0-2 Years</v>
      </c>
      <c r="AO1078" t="str">
        <f t="shared" si="67"/>
        <v>46-55 Years</v>
      </c>
    </row>
    <row r="1079" spans="1:41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64"/>
        <v>1</v>
      </c>
      <c r="AM1079" t="str">
        <f t="shared" si="65"/>
        <v>6-10 Years</v>
      </c>
      <c r="AN1079" t="str">
        <f t="shared" si="66"/>
        <v>0-2 Years</v>
      </c>
      <c r="AO1079" t="str">
        <f t="shared" si="67"/>
        <v>26-35 years</v>
      </c>
    </row>
    <row r="1080" spans="1:41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64"/>
        <v>1</v>
      </c>
      <c r="AM1080" t="str">
        <f t="shared" si="65"/>
        <v>16-20 Years</v>
      </c>
      <c r="AN1080" t="str">
        <f t="shared" si="66"/>
        <v>11-15 Years</v>
      </c>
      <c r="AO1080" t="str">
        <f t="shared" si="67"/>
        <v>36-45 years</v>
      </c>
    </row>
    <row r="1081" spans="1:41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64"/>
        <v>1</v>
      </c>
      <c r="AM1081" t="str">
        <f t="shared" si="65"/>
        <v>0-2 Years</v>
      </c>
      <c r="AN1081" t="str">
        <f t="shared" si="66"/>
        <v>0-2 Years</v>
      </c>
      <c r="AO1081" t="str">
        <f t="shared" si="67"/>
        <v>36-45 years</v>
      </c>
    </row>
    <row r="1082" spans="1:41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64"/>
        <v>1</v>
      </c>
      <c r="AM1082" t="str">
        <f t="shared" si="65"/>
        <v>11-15 Years</v>
      </c>
      <c r="AN1082" t="str">
        <f t="shared" si="66"/>
        <v>3-5 Years</v>
      </c>
      <c r="AO1082" t="str">
        <f t="shared" si="67"/>
        <v>46-55 Years</v>
      </c>
    </row>
    <row r="1083" spans="1:41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64"/>
        <v>1</v>
      </c>
      <c r="AM1083" t="str">
        <f t="shared" si="65"/>
        <v>11-15 Years</v>
      </c>
      <c r="AN1083" t="str">
        <f t="shared" si="66"/>
        <v>3-5 Years</v>
      </c>
      <c r="AO1083" t="str">
        <f t="shared" si="67"/>
        <v>26-35 years</v>
      </c>
    </row>
    <row r="1084" spans="1:41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64"/>
        <v>1</v>
      </c>
      <c r="AM1084" t="str">
        <f t="shared" si="65"/>
        <v>3-5 Years</v>
      </c>
      <c r="AN1084" t="str">
        <f t="shared" si="66"/>
        <v>0-2 Years</v>
      </c>
      <c r="AO1084" t="str">
        <f t="shared" si="67"/>
        <v>18-25 years</v>
      </c>
    </row>
    <row r="1085" spans="1:41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64"/>
        <v>1</v>
      </c>
      <c r="AM1085" t="str">
        <f t="shared" si="65"/>
        <v>3-5 Years</v>
      </c>
      <c r="AN1085" t="str">
        <f t="shared" si="66"/>
        <v>0-2 Years</v>
      </c>
      <c r="AO1085" t="str">
        <f t="shared" si="67"/>
        <v>36-45 years</v>
      </c>
    </row>
    <row r="1086" spans="1:41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64"/>
        <v>1</v>
      </c>
      <c r="AM1086" t="str">
        <f t="shared" si="65"/>
        <v>6-10 Years</v>
      </c>
      <c r="AN1086" t="str">
        <f t="shared" si="66"/>
        <v>6-10 Years</v>
      </c>
      <c r="AO1086" t="str">
        <f t="shared" si="67"/>
        <v>26-35 years</v>
      </c>
    </row>
    <row r="1087" spans="1:41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64"/>
        <v>1</v>
      </c>
      <c r="AM1087" t="str">
        <f t="shared" si="65"/>
        <v>6-10 Years</v>
      </c>
      <c r="AN1087" t="str">
        <f t="shared" si="66"/>
        <v>6-10 Years</v>
      </c>
      <c r="AO1087" t="str">
        <f t="shared" si="67"/>
        <v>26-35 years</v>
      </c>
    </row>
    <row r="1088" spans="1:41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64"/>
        <v>1</v>
      </c>
      <c r="AM1088" t="str">
        <f t="shared" si="65"/>
        <v>21+ Years</v>
      </c>
      <c r="AN1088" t="str">
        <f t="shared" si="66"/>
        <v>11-15 Years</v>
      </c>
      <c r="AO1088" t="str">
        <f t="shared" si="67"/>
        <v>46-55 Years</v>
      </c>
    </row>
    <row r="1089" spans="1:41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64"/>
        <v>1</v>
      </c>
      <c r="AM1089" t="str">
        <f t="shared" si="65"/>
        <v>11-15 Years</v>
      </c>
      <c r="AN1089" t="str">
        <f t="shared" si="66"/>
        <v>3-5 Years</v>
      </c>
      <c r="AO1089" t="str">
        <f t="shared" si="67"/>
        <v>26-35 years</v>
      </c>
    </row>
    <row r="1090" spans="1:41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si="64"/>
        <v>1</v>
      </c>
      <c r="AM1090" t="str">
        <f t="shared" si="65"/>
        <v>0-2 Years</v>
      </c>
      <c r="AN1090" t="str">
        <f t="shared" si="66"/>
        <v>0-2 Years</v>
      </c>
      <c r="AO1090" t="str">
        <f t="shared" si="67"/>
        <v>36-45 years</v>
      </c>
    </row>
    <row r="1091" spans="1:41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ref="AJ1091:AJ1154" si="68">COUNTIFS($A$2:$A$1471,A1091,$B$2:$B$1471,B1091,$C$2:$C$1471,C1091,$D$2:$D$1471,D1091,$E$2:$E$1471,E1091,$F$2:$F$1471,F1091,$G$2:$G$1471,G1091,$H$2:$H$1471,H1091,$I$2:$I$1471,I1091,$J$2:$J$1471,J1091,$K$2:$K$1471,K1091,$L$2:$L$1471,L1091,$M$2:$M$1471,M1091,$N$2:$N$1471,N1091,$O$2:$O$1471,O1091,$P$2:$P$1471,P1091,$Q$2:$Q$1471,Q1091,$R$2:$R$1471,R1091,$S$2:$S$1471,S1091,$T$2:$T$1471,T1091,$U$2:$U$1471,U1091,$V$2:$V$1471,V1091,$W$2:$W$1471,W1091,$X$2:$X$1471,X1091,$Y$2:$Y$1471,Y1091,$Z$2:$Z$1471,Z1091,$AA$2:$AA$1471,AA1091,$AB$2:$AB$1471,AB1091,$AC$2:$AC$1471,AC1091,$AD$2:$AD$1471,AD1091,$AE$2:$AE$1471,AE1091,$AF$2:$AF$1471,AF1091,$AG$2:$AG$1471,AG1091,$AH$2:$AH$1471,AH1091,$AI$2:$AI$1471,AI1091)</f>
        <v>1</v>
      </c>
      <c r="AM1091" t="str">
        <f t="shared" ref="AM1091:AM1154" si="69">IF(AF1091&lt;=2,"0-2 Years",IF(AF1091&lt;=5,"3-5 Years",IF(AF1091&lt;=10,"6-10 Years",IF(AF1091&lt;=15,"11-15 Years",IF(AF1091&lt;=20,"16-20 Years","21+ Years")))))</f>
        <v>6-10 Years</v>
      </c>
      <c r="AN1091" t="str">
        <f t="shared" ref="AN1091:AN1154" si="70">IF(AH1091&lt;=2,"0-2 Years",IF(AH1091&lt;=5,"3-5 Years",IF(AH1091&lt;=10,"6-10 Years","11-15 Years")))</f>
        <v>3-5 Years</v>
      </c>
      <c r="AO1091" t="str">
        <f t="shared" ref="AO1091:AO1154" si="71">IF(A1091&lt;=25,"18-25 years",IF(A1091&lt;=35,"26-35 years",IF(A1091&lt;=45,"36-45 years",IF(A1091&lt;=55,"46-55 Years","56+ years"))))</f>
        <v>36-45 years</v>
      </c>
    </row>
    <row r="1092" spans="1:41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68"/>
        <v>1</v>
      </c>
      <c r="AM1092" t="str">
        <f t="shared" si="69"/>
        <v>6-10 Years</v>
      </c>
      <c r="AN1092" t="str">
        <f t="shared" si="70"/>
        <v>0-2 Years</v>
      </c>
      <c r="AO1092" t="str">
        <f t="shared" si="71"/>
        <v>26-35 years</v>
      </c>
    </row>
    <row r="1093" spans="1:41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68"/>
        <v>1</v>
      </c>
      <c r="AM1093" t="str">
        <f t="shared" si="69"/>
        <v>3-5 Years</v>
      </c>
      <c r="AN1093" t="str">
        <f t="shared" si="70"/>
        <v>0-2 Years</v>
      </c>
      <c r="AO1093" t="str">
        <f t="shared" si="71"/>
        <v>26-35 years</v>
      </c>
    </row>
    <row r="1094" spans="1:41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68"/>
        <v>1</v>
      </c>
      <c r="AM1094" t="str">
        <f t="shared" si="69"/>
        <v>3-5 Years</v>
      </c>
      <c r="AN1094" t="str">
        <f t="shared" si="70"/>
        <v>0-2 Years</v>
      </c>
      <c r="AO1094" t="str">
        <f t="shared" si="71"/>
        <v>36-45 years</v>
      </c>
    </row>
    <row r="1095" spans="1:41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68"/>
        <v>1</v>
      </c>
      <c r="AM1095" t="str">
        <f t="shared" si="69"/>
        <v>16-20 Years</v>
      </c>
      <c r="AN1095" t="str">
        <f t="shared" si="70"/>
        <v>11-15 Years</v>
      </c>
      <c r="AO1095" t="str">
        <f t="shared" si="71"/>
        <v>36-45 years</v>
      </c>
    </row>
    <row r="1096" spans="1:41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68"/>
        <v>1</v>
      </c>
      <c r="AM1096" t="str">
        <f t="shared" si="69"/>
        <v>6-10 Years</v>
      </c>
      <c r="AN1096" t="str">
        <f t="shared" si="70"/>
        <v>6-10 Years</v>
      </c>
      <c r="AO1096" t="str">
        <f t="shared" si="71"/>
        <v>36-45 years</v>
      </c>
    </row>
    <row r="1097" spans="1:41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68"/>
        <v>1</v>
      </c>
      <c r="AM1097" t="str">
        <f t="shared" si="69"/>
        <v>11-15 Years</v>
      </c>
      <c r="AN1097" t="str">
        <f t="shared" si="70"/>
        <v>3-5 Years</v>
      </c>
      <c r="AO1097" t="str">
        <f t="shared" si="71"/>
        <v>26-35 years</v>
      </c>
    </row>
    <row r="1098" spans="1:41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68"/>
        <v>1</v>
      </c>
      <c r="AM1098" t="str">
        <f t="shared" si="69"/>
        <v>21+ Years</v>
      </c>
      <c r="AN1098" t="str">
        <f t="shared" si="70"/>
        <v>6-10 Years</v>
      </c>
      <c r="AO1098" t="str">
        <f t="shared" si="71"/>
        <v>36-45 years</v>
      </c>
    </row>
    <row r="1099" spans="1:41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68"/>
        <v>1</v>
      </c>
      <c r="AM1099" t="str">
        <f t="shared" si="69"/>
        <v>0-2 Years</v>
      </c>
      <c r="AN1099" t="str">
        <f t="shared" si="70"/>
        <v>0-2 Years</v>
      </c>
      <c r="AO1099" t="str">
        <f t="shared" si="71"/>
        <v>18-25 years</v>
      </c>
    </row>
    <row r="1100" spans="1:41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68"/>
        <v>1</v>
      </c>
      <c r="AM1100" t="str">
        <f t="shared" si="69"/>
        <v>0-2 Years</v>
      </c>
      <c r="AN1100" t="str">
        <f t="shared" si="70"/>
        <v>0-2 Years</v>
      </c>
      <c r="AO1100" t="str">
        <f t="shared" si="71"/>
        <v>36-45 years</v>
      </c>
    </row>
    <row r="1101" spans="1:41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68"/>
        <v>1</v>
      </c>
      <c r="AM1101" t="str">
        <f t="shared" si="69"/>
        <v>6-10 Years</v>
      </c>
      <c r="AN1101" t="str">
        <f t="shared" si="70"/>
        <v>6-10 Years</v>
      </c>
      <c r="AO1101" t="str">
        <f t="shared" si="71"/>
        <v>36-45 years</v>
      </c>
    </row>
    <row r="1102" spans="1:41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68"/>
        <v>1</v>
      </c>
      <c r="AM1102" t="str">
        <f t="shared" si="69"/>
        <v>3-5 Years</v>
      </c>
      <c r="AN1102" t="str">
        <f t="shared" si="70"/>
        <v>3-5 Years</v>
      </c>
      <c r="AO1102" t="str">
        <f t="shared" si="71"/>
        <v>26-35 years</v>
      </c>
    </row>
    <row r="1103" spans="1:41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68"/>
        <v>1</v>
      </c>
      <c r="AM1103" t="str">
        <f t="shared" si="69"/>
        <v>6-10 Years</v>
      </c>
      <c r="AN1103" t="str">
        <f t="shared" si="70"/>
        <v>0-2 Years</v>
      </c>
      <c r="AO1103" t="str">
        <f t="shared" si="71"/>
        <v>26-35 years</v>
      </c>
    </row>
    <row r="1104" spans="1:41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68"/>
        <v>1</v>
      </c>
      <c r="AM1104" t="str">
        <f t="shared" si="69"/>
        <v>3-5 Years</v>
      </c>
      <c r="AN1104" t="str">
        <f t="shared" si="70"/>
        <v>0-2 Years</v>
      </c>
      <c r="AO1104" t="str">
        <f t="shared" si="71"/>
        <v>36-45 years</v>
      </c>
    </row>
    <row r="1105" spans="1:41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68"/>
        <v>1</v>
      </c>
      <c r="AM1105" t="str">
        <f t="shared" si="69"/>
        <v>6-10 Years</v>
      </c>
      <c r="AN1105" t="str">
        <f t="shared" si="70"/>
        <v>6-10 Years</v>
      </c>
      <c r="AO1105" t="str">
        <f t="shared" si="71"/>
        <v>46-55 Years</v>
      </c>
    </row>
    <row r="1106" spans="1:41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68"/>
        <v>1</v>
      </c>
      <c r="AM1106" t="str">
        <f t="shared" si="69"/>
        <v>0-2 Years</v>
      </c>
      <c r="AN1106" t="str">
        <f t="shared" si="70"/>
        <v>0-2 Years</v>
      </c>
      <c r="AO1106" t="str">
        <f t="shared" si="71"/>
        <v>26-35 years</v>
      </c>
    </row>
    <row r="1107" spans="1:41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68"/>
        <v>1</v>
      </c>
      <c r="AM1107" t="str">
        <f t="shared" si="69"/>
        <v>0-2 Years</v>
      </c>
      <c r="AN1107" t="str">
        <f t="shared" si="70"/>
        <v>0-2 Years</v>
      </c>
      <c r="AO1107" t="str">
        <f t="shared" si="71"/>
        <v>26-35 years</v>
      </c>
    </row>
    <row r="1108" spans="1:41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68"/>
        <v>1</v>
      </c>
      <c r="AM1108" t="str">
        <f t="shared" si="69"/>
        <v>6-10 Years</v>
      </c>
      <c r="AN1108" t="str">
        <f t="shared" si="70"/>
        <v>6-10 Years</v>
      </c>
      <c r="AO1108" t="str">
        <f t="shared" si="71"/>
        <v>26-35 years</v>
      </c>
    </row>
    <row r="1109" spans="1:41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68"/>
        <v>1</v>
      </c>
      <c r="AM1109" t="str">
        <f t="shared" si="69"/>
        <v>6-10 Years</v>
      </c>
      <c r="AN1109" t="str">
        <f t="shared" si="70"/>
        <v>0-2 Years</v>
      </c>
      <c r="AO1109" t="str">
        <f t="shared" si="71"/>
        <v>36-45 years</v>
      </c>
    </row>
    <row r="1110" spans="1:41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68"/>
        <v>1</v>
      </c>
      <c r="AM1110" t="str">
        <f t="shared" si="69"/>
        <v>3-5 Years</v>
      </c>
      <c r="AN1110" t="str">
        <f t="shared" si="70"/>
        <v>0-2 Years</v>
      </c>
      <c r="AO1110" t="str">
        <f t="shared" si="71"/>
        <v>26-35 years</v>
      </c>
    </row>
    <row r="1111" spans="1:41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68"/>
        <v>1</v>
      </c>
      <c r="AM1111" t="str">
        <f t="shared" si="69"/>
        <v>3-5 Years</v>
      </c>
      <c r="AN1111" t="str">
        <f t="shared" si="70"/>
        <v>0-2 Years</v>
      </c>
      <c r="AO1111" t="str">
        <f t="shared" si="71"/>
        <v>26-35 years</v>
      </c>
    </row>
    <row r="1112" spans="1:41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68"/>
        <v>1</v>
      </c>
      <c r="AM1112" t="str">
        <f t="shared" si="69"/>
        <v>0-2 Years</v>
      </c>
      <c r="AN1112" t="str">
        <f t="shared" si="70"/>
        <v>0-2 Years</v>
      </c>
      <c r="AO1112" t="str">
        <f t="shared" si="71"/>
        <v>26-35 years</v>
      </c>
    </row>
    <row r="1113" spans="1:41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68"/>
        <v>1</v>
      </c>
      <c r="AM1113" t="str">
        <f t="shared" si="69"/>
        <v>21+ Years</v>
      </c>
      <c r="AN1113" t="str">
        <f t="shared" si="70"/>
        <v>0-2 Years</v>
      </c>
      <c r="AO1113" t="str">
        <f t="shared" si="71"/>
        <v>46-55 Years</v>
      </c>
    </row>
    <row r="1114" spans="1:41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68"/>
        <v>1</v>
      </c>
      <c r="AM1114" t="str">
        <f t="shared" si="69"/>
        <v>3-5 Years</v>
      </c>
      <c r="AN1114" t="str">
        <f t="shared" si="70"/>
        <v>0-2 Years</v>
      </c>
      <c r="AO1114" t="str">
        <f t="shared" si="71"/>
        <v>36-45 years</v>
      </c>
    </row>
    <row r="1115" spans="1:41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68"/>
        <v>1</v>
      </c>
      <c r="AM1115" t="str">
        <f t="shared" si="69"/>
        <v>6-10 Years</v>
      </c>
      <c r="AN1115" t="str">
        <f t="shared" si="70"/>
        <v>0-2 Years</v>
      </c>
      <c r="AO1115" t="str">
        <f t="shared" si="71"/>
        <v>26-35 years</v>
      </c>
    </row>
    <row r="1116" spans="1:41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68"/>
        <v>1</v>
      </c>
      <c r="AM1116" t="str">
        <f t="shared" si="69"/>
        <v>6-10 Years</v>
      </c>
      <c r="AN1116" t="str">
        <f t="shared" si="70"/>
        <v>6-10 Years</v>
      </c>
      <c r="AO1116" t="str">
        <f t="shared" si="71"/>
        <v>46-55 Years</v>
      </c>
    </row>
    <row r="1117" spans="1:41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68"/>
        <v>1</v>
      </c>
      <c r="AM1117" t="str">
        <f t="shared" si="69"/>
        <v>0-2 Years</v>
      </c>
      <c r="AN1117" t="str">
        <f t="shared" si="70"/>
        <v>0-2 Years</v>
      </c>
      <c r="AO1117" t="str">
        <f t="shared" si="71"/>
        <v>26-35 years</v>
      </c>
    </row>
    <row r="1118" spans="1:41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68"/>
        <v>1</v>
      </c>
      <c r="AM1118" t="str">
        <f t="shared" si="69"/>
        <v>21+ Years</v>
      </c>
      <c r="AN1118" t="str">
        <f t="shared" si="70"/>
        <v>0-2 Years</v>
      </c>
      <c r="AO1118" t="str">
        <f t="shared" si="71"/>
        <v>46-55 Years</v>
      </c>
    </row>
    <row r="1119" spans="1:41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68"/>
        <v>1</v>
      </c>
      <c r="AM1119" t="str">
        <f t="shared" si="69"/>
        <v>0-2 Years</v>
      </c>
      <c r="AN1119" t="str">
        <f t="shared" si="70"/>
        <v>0-2 Years</v>
      </c>
      <c r="AO1119" t="str">
        <f t="shared" si="71"/>
        <v>26-35 years</v>
      </c>
    </row>
    <row r="1120" spans="1:41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68"/>
        <v>1</v>
      </c>
      <c r="AM1120" t="str">
        <f t="shared" si="69"/>
        <v>0-2 Years</v>
      </c>
      <c r="AN1120" t="str">
        <f t="shared" si="70"/>
        <v>0-2 Years</v>
      </c>
      <c r="AO1120" t="str">
        <f t="shared" si="71"/>
        <v>26-35 years</v>
      </c>
    </row>
    <row r="1121" spans="1:41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68"/>
        <v>1</v>
      </c>
      <c r="AM1121" t="str">
        <f t="shared" si="69"/>
        <v>6-10 Years</v>
      </c>
      <c r="AN1121" t="str">
        <f t="shared" si="70"/>
        <v>6-10 Years</v>
      </c>
      <c r="AO1121" t="str">
        <f t="shared" si="71"/>
        <v>36-45 years</v>
      </c>
    </row>
    <row r="1122" spans="1:41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68"/>
        <v>1</v>
      </c>
      <c r="AM1122" t="str">
        <f t="shared" si="69"/>
        <v>3-5 Years</v>
      </c>
      <c r="AN1122" t="str">
        <f t="shared" si="70"/>
        <v>0-2 Years</v>
      </c>
      <c r="AO1122" t="str">
        <f t="shared" si="71"/>
        <v>36-45 years</v>
      </c>
    </row>
    <row r="1123" spans="1:41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68"/>
        <v>1</v>
      </c>
      <c r="AM1123" t="str">
        <f t="shared" si="69"/>
        <v>0-2 Years</v>
      </c>
      <c r="AN1123" t="str">
        <f t="shared" si="70"/>
        <v>0-2 Years</v>
      </c>
      <c r="AO1123" t="str">
        <f t="shared" si="71"/>
        <v>36-45 years</v>
      </c>
    </row>
    <row r="1124" spans="1:41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68"/>
        <v>1</v>
      </c>
      <c r="AM1124" t="str">
        <f t="shared" si="69"/>
        <v>6-10 Years</v>
      </c>
      <c r="AN1124" t="str">
        <f t="shared" si="70"/>
        <v>0-2 Years</v>
      </c>
      <c r="AO1124" t="str">
        <f t="shared" si="71"/>
        <v>26-35 years</v>
      </c>
    </row>
    <row r="1125" spans="1:41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68"/>
        <v>1</v>
      </c>
      <c r="AM1125" t="str">
        <f t="shared" si="69"/>
        <v>3-5 Years</v>
      </c>
      <c r="AN1125" t="str">
        <f t="shared" si="70"/>
        <v>0-2 Years</v>
      </c>
      <c r="AO1125" t="str">
        <f t="shared" si="71"/>
        <v>26-35 years</v>
      </c>
    </row>
    <row r="1126" spans="1:41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68"/>
        <v>1</v>
      </c>
      <c r="AM1126" t="str">
        <f t="shared" si="69"/>
        <v>6-10 Years</v>
      </c>
      <c r="AN1126" t="str">
        <f t="shared" si="70"/>
        <v>6-10 Years</v>
      </c>
      <c r="AO1126" t="str">
        <f t="shared" si="71"/>
        <v>36-45 years</v>
      </c>
    </row>
    <row r="1127" spans="1:41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68"/>
        <v>1</v>
      </c>
      <c r="AM1127" t="str">
        <f t="shared" si="69"/>
        <v>6-10 Years</v>
      </c>
      <c r="AN1127" t="str">
        <f t="shared" si="70"/>
        <v>0-2 Years</v>
      </c>
      <c r="AO1127" t="str">
        <f t="shared" si="71"/>
        <v>26-35 years</v>
      </c>
    </row>
    <row r="1128" spans="1:41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68"/>
        <v>1</v>
      </c>
      <c r="AM1128" t="str">
        <f t="shared" si="69"/>
        <v>0-2 Years</v>
      </c>
      <c r="AN1128" t="str">
        <f t="shared" si="70"/>
        <v>0-2 Years</v>
      </c>
      <c r="AO1128" t="str">
        <f t="shared" si="71"/>
        <v>46-55 Years</v>
      </c>
    </row>
    <row r="1129" spans="1:41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68"/>
        <v>1</v>
      </c>
      <c r="AM1129" t="str">
        <f t="shared" si="69"/>
        <v>0-2 Years</v>
      </c>
      <c r="AN1129" t="str">
        <f t="shared" si="70"/>
        <v>0-2 Years</v>
      </c>
      <c r="AO1129" t="str">
        <f t="shared" si="71"/>
        <v>18-25 years</v>
      </c>
    </row>
    <row r="1130" spans="1:41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68"/>
        <v>1</v>
      </c>
      <c r="AM1130" t="str">
        <f t="shared" si="69"/>
        <v>3-5 Years</v>
      </c>
      <c r="AN1130" t="str">
        <f t="shared" si="70"/>
        <v>0-2 Years</v>
      </c>
      <c r="AO1130" t="str">
        <f t="shared" si="71"/>
        <v>36-45 years</v>
      </c>
    </row>
    <row r="1131" spans="1:41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68"/>
        <v>1</v>
      </c>
      <c r="AM1131" t="str">
        <f t="shared" si="69"/>
        <v>0-2 Years</v>
      </c>
      <c r="AN1131" t="str">
        <f t="shared" si="70"/>
        <v>0-2 Years</v>
      </c>
      <c r="AO1131" t="str">
        <f t="shared" si="71"/>
        <v>36-45 years</v>
      </c>
    </row>
    <row r="1132" spans="1:41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68"/>
        <v>1</v>
      </c>
      <c r="AM1132" t="str">
        <f t="shared" si="69"/>
        <v>6-10 Years</v>
      </c>
      <c r="AN1132" t="str">
        <f t="shared" si="70"/>
        <v>6-10 Years</v>
      </c>
      <c r="AO1132" t="str">
        <f t="shared" si="71"/>
        <v>26-35 years</v>
      </c>
    </row>
    <row r="1133" spans="1:41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68"/>
        <v>1</v>
      </c>
      <c r="AM1133" t="str">
        <f t="shared" si="69"/>
        <v>6-10 Years</v>
      </c>
      <c r="AN1133" t="str">
        <f t="shared" si="70"/>
        <v>6-10 Years</v>
      </c>
      <c r="AO1133" t="str">
        <f t="shared" si="71"/>
        <v>26-35 years</v>
      </c>
    </row>
    <row r="1134" spans="1:41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68"/>
        <v>1</v>
      </c>
      <c r="AM1134" t="str">
        <f t="shared" si="69"/>
        <v>3-5 Years</v>
      </c>
      <c r="AN1134" t="str">
        <f t="shared" si="70"/>
        <v>0-2 Years</v>
      </c>
      <c r="AO1134" t="str">
        <f t="shared" si="71"/>
        <v>36-45 years</v>
      </c>
    </row>
    <row r="1135" spans="1:41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68"/>
        <v>1</v>
      </c>
      <c r="AM1135" t="str">
        <f t="shared" si="69"/>
        <v>6-10 Years</v>
      </c>
      <c r="AN1135" t="str">
        <f t="shared" si="70"/>
        <v>0-2 Years</v>
      </c>
      <c r="AO1135" t="str">
        <f t="shared" si="71"/>
        <v>36-45 years</v>
      </c>
    </row>
    <row r="1136" spans="1:41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68"/>
        <v>1</v>
      </c>
      <c r="AM1136" t="str">
        <f t="shared" si="69"/>
        <v>0-2 Years</v>
      </c>
      <c r="AN1136" t="str">
        <f t="shared" si="70"/>
        <v>0-2 Years</v>
      </c>
      <c r="AO1136" t="str">
        <f t="shared" si="71"/>
        <v>26-35 years</v>
      </c>
    </row>
    <row r="1137" spans="1:41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68"/>
        <v>1</v>
      </c>
      <c r="AM1137" t="str">
        <f t="shared" si="69"/>
        <v>21+ Years</v>
      </c>
      <c r="AN1137" t="str">
        <f t="shared" si="70"/>
        <v>0-2 Years</v>
      </c>
      <c r="AO1137" t="str">
        <f t="shared" si="71"/>
        <v>46-55 Years</v>
      </c>
    </row>
    <row r="1138" spans="1:41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68"/>
        <v>1</v>
      </c>
      <c r="AM1138" t="str">
        <f t="shared" si="69"/>
        <v>0-2 Years</v>
      </c>
      <c r="AN1138" t="str">
        <f t="shared" si="70"/>
        <v>0-2 Years</v>
      </c>
      <c r="AO1138" t="str">
        <f t="shared" si="71"/>
        <v>26-35 years</v>
      </c>
    </row>
    <row r="1139" spans="1:41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68"/>
        <v>1</v>
      </c>
      <c r="AM1139" t="str">
        <f t="shared" si="69"/>
        <v>3-5 Years</v>
      </c>
      <c r="AN1139" t="str">
        <f t="shared" si="70"/>
        <v>0-2 Years</v>
      </c>
      <c r="AO1139" t="str">
        <f t="shared" si="71"/>
        <v>18-25 years</v>
      </c>
    </row>
    <row r="1140" spans="1:41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68"/>
        <v>1</v>
      </c>
      <c r="AM1140" t="str">
        <f t="shared" si="69"/>
        <v>21+ Years</v>
      </c>
      <c r="AN1140" t="str">
        <f t="shared" si="70"/>
        <v>11-15 Years</v>
      </c>
      <c r="AO1140" t="str">
        <f t="shared" si="71"/>
        <v>46-55 Years</v>
      </c>
    </row>
    <row r="1141" spans="1:41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68"/>
        <v>1</v>
      </c>
      <c r="AM1141" t="str">
        <f t="shared" si="69"/>
        <v>3-5 Years</v>
      </c>
      <c r="AN1141" t="str">
        <f t="shared" si="70"/>
        <v>0-2 Years</v>
      </c>
      <c r="AO1141" t="str">
        <f t="shared" si="71"/>
        <v>26-35 years</v>
      </c>
    </row>
    <row r="1142" spans="1:41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68"/>
        <v>1</v>
      </c>
      <c r="AM1142" t="str">
        <f t="shared" si="69"/>
        <v>21+ Years</v>
      </c>
      <c r="AN1142" t="str">
        <f t="shared" si="70"/>
        <v>0-2 Years</v>
      </c>
      <c r="AO1142" t="str">
        <f t="shared" si="71"/>
        <v>36-45 years</v>
      </c>
    </row>
    <row r="1143" spans="1:41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68"/>
        <v>1</v>
      </c>
      <c r="AM1143" t="str">
        <f t="shared" si="69"/>
        <v>6-10 Years</v>
      </c>
      <c r="AN1143" t="str">
        <f t="shared" si="70"/>
        <v>0-2 Years</v>
      </c>
      <c r="AO1143" t="str">
        <f t="shared" si="71"/>
        <v>26-35 years</v>
      </c>
    </row>
    <row r="1144" spans="1:41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68"/>
        <v>1</v>
      </c>
      <c r="AM1144" t="str">
        <f t="shared" si="69"/>
        <v>6-10 Years</v>
      </c>
      <c r="AN1144" t="str">
        <f t="shared" si="70"/>
        <v>0-2 Years</v>
      </c>
      <c r="AO1144" t="str">
        <f t="shared" si="71"/>
        <v>36-45 years</v>
      </c>
    </row>
    <row r="1145" spans="1:41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68"/>
        <v>1</v>
      </c>
      <c r="AM1145" t="str">
        <f t="shared" si="69"/>
        <v>6-10 Years</v>
      </c>
      <c r="AN1145" t="str">
        <f t="shared" si="70"/>
        <v>3-5 Years</v>
      </c>
      <c r="AO1145" t="str">
        <f t="shared" si="71"/>
        <v>36-45 years</v>
      </c>
    </row>
    <row r="1146" spans="1:41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68"/>
        <v>1</v>
      </c>
      <c r="AM1146" t="str">
        <f t="shared" si="69"/>
        <v>3-5 Years</v>
      </c>
      <c r="AN1146" t="str">
        <f t="shared" si="70"/>
        <v>0-2 Years</v>
      </c>
      <c r="AO1146" t="str">
        <f t="shared" si="71"/>
        <v>26-35 years</v>
      </c>
    </row>
    <row r="1147" spans="1:41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68"/>
        <v>1</v>
      </c>
      <c r="AM1147" t="str">
        <f t="shared" si="69"/>
        <v>3-5 Years</v>
      </c>
      <c r="AN1147" t="str">
        <f t="shared" si="70"/>
        <v>0-2 Years</v>
      </c>
      <c r="AO1147" t="str">
        <f t="shared" si="71"/>
        <v>36-45 years</v>
      </c>
    </row>
    <row r="1148" spans="1:41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68"/>
        <v>1</v>
      </c>
      <c r="AM1148" t="str">
        <f t="shared" si="69"/>
        <v>6-10 Years</v>
      </c>
      <c r="AN1148" t="str">
        <f t="shared" si="70"/>
        <v>6-10 Years</v>
      </c>
      <c r="AO1148" t="str">
        <f t="shared" si="71"/>
        <v>26-35 years</v>
      </c>
    </row>
    <row r="1149" spans="1:41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68"/>
        <v>1</v>
      </c>
      <c r="AM1149" t="str">
        <f t="shared" si="69"/>
        <v>6-10 Years</v>
      </c>
      <c r="AN1149" t="str">
        <f t="shared" si="70"/>
        <v>0-2 Years</v>
      </c>
      <c r="AO1149" t="str">
        <f t="shared" si="71"/>
        <v>46-55 Years</v>
      </c>
    </row>
    <row r="1150" spans="1:41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68"/>
        <v>1</v>
      </c>
      <c r="AM1150" t="str">
        <f t="shared" si="69"/>
        <v>6-10 Years</v>
      </c>
      <c r="AN1150" t="str">
        <f t="shared" si="70"/>
        <v>6-10 Years</v>
      </c>
      <c r="AO1150" t="str">
        <f t="shared" si="71"/>
        <v>36-45 years</v>
      </c>
    </row>
    <row r="1151" spans="1:41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68"/>
        <v>1</v>
      </c>
      <c r="AM1151" t="str">
        <f t="shared" si="69"/>
        <v>6-10 Years</v>
      </c>
      <c r="AN1151" t="str">
        <f t="shared" si="70"/>
        <v>0-2 Years</v>
      </c>
      <c r="AO1151" t="str">
        <f t="shared" si="71"/>
        <v>26-35 years</v>
      </c>
    </row>
    <row r="1152" spans="1:41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68"/>
        <v>1</v>
      </c>
      <c r="AM1152" t="str">
        <f t="shared" si="69"/>
        <v>16-20 Years</v>
      </c>
      <c r="AN1152" t="str">
        <f t="shared" si="70"/>
        <v>0-2 Years</v>
      </c>
      <c r="AO1152" t="str">
        <f t="shared" si="71"/>
        <v>26-35 years</v>
      </c>
    </row>
    <row r="1153" spans="1:41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68"/>
        <v>1</v>
      </c>
      <c r="AM1153" t="str">
        <f t="shared" si="69"/>
        <v>3-5 Years</v>
      </c>
      <c r="AN1153" t="str">
        <f t="shared" si="70"/>
        <v>0-2 Years</v>
      </c>
      <c r="AO1153" t="str">
        <f t="shared" si="71"/>
        <v>26-35 years</v>
      </c>
    </row>
    <row r="1154" spans="1:41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si="68"/>
        <v>1</v>
      </c>
      <c r="AM1154" t="str">
        <f t="shared" si="69"/>
        <v>0-2 Years</v>
      </c>
      <c r="AN1154" t="str">
        <f t="shared" si="70"/>
        <v>0-2 Years</v>
      </c>
      <c r="AO1154" t="str">
        <f t="shared" si="71"/>
        <v>18-25 years</v>
      </c>
    </row>
    <row r="1155" spans="1:41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ref="AJ1155:AJ1218" si="72">COUNTIFS($A$2:$A$1471,A1155,$B$2:$B$1471,B1155,$C$2:$C$1471,C1155,$D$2:$D$1471,D1155,$E$2:$E$1471,E1155,$F$2:$F$1471,F1155,$G$2:$G$1471,G1155,$H$2:$H$1471,H1155,$I$2:$I$1471,I1155,$J$2:$J$1471,J1155,$K$2:$K$1471,K1155,$L$2:$L$1471,L1155,$M$2:$M$1471,M1155,$N$2:$N$1471,N1155,$O$2:$O$1471,O1155,$P$2:$P$1471,P1155,$Q$2:$Q$1471,Q1155,$R$2:$R$1471,R1155,$S$2:$S$1471,S1155,$T$2:$T$1471,T1155,$U$2:$U$1471,U1155,$V$2:$V$1471,V1155,$W$2:$W$1471,W1155,$X$2:$X$1471,X1155,$Y$2:$Y$1471,Y1155,$Z$2:$Z$1471,Z1155,$AA$2:$AA$1471,AA1155,$AB$2:$AB$1471,AB1155,$AC$2:$AC$1471,AC1155,$AD$2:$AD$1471,AD1155,$AE$2:$AE$1471,AE1155,$AF$2:$AF$1471,AF1155,$AG$2:$AG$1471,AG1155,$AH$2:$AH$1471,AH1155,$AI$2:$AI$1471,AI1155)</f>
        <v>1</v>
      </c>
      <c r="AM1155" t="str">
        <f t="shared" ref="AM1155:AM1218" si="73">IF(AF1155&lt;=2,"0-2 Years",IF(AF1155&lt;=5,"3-5 Years",IF(AF1155&lt;=10,"6-10 Years",IF(AF1155&lt;=15,"11-15 Years",IF(AF1155&lt;=20,"16-20 Years","21+ Years")))))</f>
        <v>0-2 Years</v>
      </c>
      <c r="AN1155" t="str">
        <f t="shared" ref="AN1155:AN1218" si="74">IF(AH1155&lt;=2,"0-2 Years",IF(AH1155&lt;=5,"3-5 Years",IF(AH1155&lt;=10,"6-10 Years","11-15 Years")))</f>
        <v>0-2 Years</v>
      </c>
      <c r="AO1155" t="str">
        <f t="shared" ref="AO1155:AO1218" si="75">IF(A1155&lt;=25,"18-25 years",IF(A1155&lt;=35,"26-35 years",IF(A1155&lt;=45,"36-45 years",IF(A1155&lt;=55,"46-55 Years","56+ years"))))</f>
        <v>18-25 years</v>
      </c>
    </row>
    <row r="1156" spans="1:41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72"/>
        <v>1</v>
      </c>
      <c r="AM1156" t="str">
        <f t="shared" si="73"/>
        <v>3-5 Years</v>
      </c>
      <c r="AN1156" t="str">
        <f t="shared" si="74"/>
        <v>0-2 Years</v>
      </c>
      <c r="AO1156" t="str">
        <f t="shared" si="75"/>
        <v>46-55 Years</v>
      </c>
    </row>
    <row r="1157" spans="1:41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72"/>
        <v>1</v>
      </c>
      <c r="AM1157" t="str">
        <f t="shared" si="73"/>
        <v>6-10 Years</v>
      </c>
      <c r="AN1157" t="str">
        <f t="shared" si="74"/>
        <v>0-2 Years</v>
      </c>
      <c r="AO1157" t="str">
        <f t="shared" si="75"/>
        <v>36-45 years</v>
      </c>
    </row>
    <row r="1158" spans="1:41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72"/>
        <v>1</v>
      </c>
      <c r="AM1158" t="str">
        <f t="shared" si="73"/>
        <v>16-20 Years</v>
      </c>
      <c r="AN1158" t="str">
        <f t="shared" si="74"/>
        <v>11-15 Years</v>
      </c>
      <c r="AO1158" t="str">
        <f t="shared" si="75"/>
        <v>36-45 years</v>
      </c>
    </row>
    <row r="1159" spans="1:41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72"/>
        <v>1</v>
      </c>
      <c r="AM1159" t="str">
        <f t="shared" si="73"/>
        <v>11-15 Years</v>
      </c>
      <c r="AN1159" t="str">
        <f t="shared" si="74"/>
        <v>0-2 Years</v>
      </c>
      <c r="AO1159" t="str">
        <f t="shared" si="75"/>
        <v>26-35 years</v>
      </c>
    </row>
    <row r="1160" spans="1:41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72"/>
        <v>1</v>
      </c>
      <c r="AM1160" t="str">
        <f t="shared" si="73"/>
        <v>3-5 Years</v>
      </c>
      <c r="AN1160" t="str">
        <f t="shared" si="74"/>
        <v>0-2 Years</v>
      </c>
      <c r="AO1160" t="str">
        <f t="shared" si="75"/>
        <v>36-45 years</v>
      </c>
    </row>
    <row r="1161" spans="1:41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72"/>
        <v>1</v>
      </c>
      <c r="AM1161" t="str">
        <f t="shared" si="73"/>
        <v>6-10 Years</v>
      </c>
      <c r="AN1161" t="str">
        <f t="shared" si="74"/>
        <v>3-5 Years</v>
      </c>
      <c r="AO1161" t="str">
        <f t="shared" si="75"/>
        <v>36-45 years</v>
      </c>
    </row>
    <row r="1162" spans="1:41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72"/>
        <v>1</v>
      </c>
      <c r="AM1162" t="str">
        <f t="shared" si="73"/>
        <v>6-10 Years</v>
      </c>
      <c r="AN1162" t="str">
        <f t="shared" si="74"/>
        <v>3-5 Years</v>
      </c>
      <c r="AO1162" t="str">
        <f t="shared" si="75"/>
        <v>36-45 years</v>
      </c>
    </row>
    <row r="1163" spans="1:41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72"/>
        <v>1</v>
      </c>
      <c r="AM1163" t="str">
        <f t="shared" si="73"/>
        <v>3-5 Years</v>
      </c>
      <c r="AN1163" t="str">
        <f t="shared" si="74"/>
        <v>0-2 Years</v>
      </c>
      <c r="AO1163" t="str">
        <f t="shared" si="75"/>
        <v>36-45 years</v>
      </c>
    </row>
    <row r="1164" spans="1:41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72"/>
        <v>1</v>
      </c>
      <c r="AM1164" t="str">
        <f t="shared" si="73"/>
        <v>11-15 Years</v>
      </c>
      <c r="AN1164" t="str">
        <f t="shared" si="74"/>
        <v>6-10 Years</v>
      </c>
      <c r="AO1164" t="str">
        <f t="shared" si="75"/>
        <v>26-35 years</v>
      </c>
    </row>
    <row r="1165" spans="1:41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72"/>
        <v>1</v>
      </c>
      <c r="AM1165" t="str">
        <f t="shared" si="73"/>
        <v>6-10 Years</v>
      </c>
      <c r="AN1165" t="str">
        <f t="shared" si="74"/>
        <v>6-10 Years</v>
      </c>
      <c r="AO1165" t="str">
        <f t="shared" si="75"/>
        <v>36-45 years</v>
      </c>
    </row>
    <row r="1166" spans="1:41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72"/>
        <v>1</v>
      </c>
      <c r="AM1166" t="str">
        <f t="shared" si="73"/>
        <v>3-5 Years</v>
      </c>
      <c r="AN1166" t="str">
        <f t="shared" si="74"/>
        <v>3-5 Years</v>
      </c>
      <c r="AO1166" t="str">
        <f t="shared" si="75"/>
        <v>36-45 years</v>
      </c>
    </row>
    <row r="1167" spans="1:41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72"/>
        <v>1</v>
      </c>
      <c r="AM1167" t="str">
        <f t="shared" si="73"/>
        <v>6-10 Years</v>
      </c>
      <c r="AN1167" t="str">
        <f t="shared" si="74"/>
        <v>0-2 Years</v>
      </c>
      <c r="AO1167" t="str">
        <f t="shared" si="75"/>
        <v>36-45 years</v>
      </c>
    </row>
    <row r="1168" spans="1:41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72"/>
        <v>1</v>
      </c>
      <c r="AM1168" t="str">
        <f t="shared" si="73"/>
        <v>0-2 Years</v>
      </c>
      <c r="AN1168" t="str">
        <f t="shared" si="74"/>
        <v>0-2 Years</v>
      </c>
      <c r="AO1168" t="str">
        <f t="shared" si="75"/>
        <v>46-55 Years</v>
      </c>
    </row>
    <row r="1169" spans="1:41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72"/>
        <v>1</v>
      </c>
      <c r="AM1169" t="str">
        <f t="shared" si="73"/>
        <v>0-2 Years</v>
      </c>
      <c r="AN1169" t="str">
        <f t="shared" si="74"/>
        <v>0-2 Years</v>
      </c>
      <c r="AO1169" t="str">
        <f t="shared" si="75"/>
        <v>26-35 years</v>
      </c>
    </row>
    <row r="1170" spans="1:41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72"/>
        <v>1</v>
      </c>
      <c r="AM1170" t="str">
        <f t="shared" si="73"/>
        <v>6-10 Years</v>
      </c>
      <c r="AN1170" t="str">
        <f t="shared" si="74"/>
        <v>0-2 Years</v>
      </c>
      <c r="AO1170" t="str">
        <f t="shared" si="75"/>
        <v>18-25 years</v>
      </c>
    </row>
    <row r="1171" spans="1:41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72"/>
        <v>1</v>
      </c>
      <c r="AM1171" t="str">
        <f t="shared" si="73"/>
        <v>3-5 Years</v>
      </c>
      <c r="AN1171" t="str">
        <f t="shared" si="74"/>
        <v>0-2 Years</v>
      </c>
      <c r="AO1171" t="str">
        <f t="shared" si="75"/>
        <v>26-35 years</v>
      </c>
    </row>
    <row r="1172" spans="1:41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72"/>
        <v>1</v>
      </c>
      <c r="AM1172" t="str">
        <f t="shared" si="73"/>
        <v>3-5 Years</v>
      </c>
      <c r="AN1172" t="str">
        <f t="shared" si="74"/>
        <v>0-2 Years</v>
      </c>
      <c r="AO1172" t="str">
        <f t="shared" si="75"/>
        <v>26-35 years</v>
      </c>
    </row>
    <row r="1173" spans="1:41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72"/>
        <v>1</v>
      </c>
      <c r="AM1173" t="str">
        <f t="shared" si="73"/>
        <v>3-5 Years</v>
      </c>
      <c r="AN1173" t="str">
        <f t="shared" si="74"/>
        <v>0-2 Years</v>
      </c>
      <c r="AO1173" t="str">
        <f t="shared" si="75"/>
        <v>36-45 years</v>
      </c>
    </row>
    <row r="1174" spans="1:41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72"/>
        <v>1</v>
      </c>
      <c r="AM1174" t="str">
        <f t="shared" si="73"/>
        <v>3-5 Years</v>
      </c>
      <c r="AN1174" t="str">
        <f t="shared" si="74"/>
        <v>0-2 Years</v>
      </c>
      <c r="AO1174" t="str">
        <f t="shared" si="75"/>
        <v>26-35 years</v>
      </c>
    </row>
    <row r="1175" spans="1:41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72"/>
        <v>1</v>
      </c>
      <c r="AM1175" t="str">
        <f t="shared" si="73"/>
        <v>3-5 Years</v>
      </c>
      <c r="AN1175" t="str">
        <f t="shared" si="74"/>
        <v>0-2 Years</v>
      </c>
      <c r="AO1175" t="str">
        <f t="shared" si="75"/>
        <v>36-45 years</v>
      </c>
    </row>
    <row r="1176" spans="1:41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72"/>
        <v>1</v>
      </c>
      <c r="AM1176" t="str">
        <f t="shared" si="73"/>
        <v>6-10 Years</v>
      </c>
      <c r="AN1176" t="str">
        <f t="shared" si="74"/>
        <v>0-2 Years</v>
      </c>
      <c r="AO1176" t="str">
        <f t="shared" si="75"/>
        <v>18-25 years</v>
      </c>
    </row>
    <row r="1177" spans="1:41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72"/>
        <v>1</v>
      </c>
      <c r="AM1177" t="str">
        <f t="shared" si="73"/>
        <v>3-5 Years</v>
      </c>
      <c r="AN1177" t="str">
        <f t="shared" si="74"/>
        <v>0-2 Years</v>
      </c>
      <c r="AO1177" t="str">
        <f t="shared" si="75"/>
        <v>36-45 years</v>
      </c>
    </row>
    <row r="1178" spans="1:41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72"/>
        <v>1</v>
      </c>
      <c r="AM1178" t="str">
        <f t="shared" si="73"/>
        <v>3-5 Years</v>
      </c>
      <c r="AN1178" t="str">
        <f t="shared" si="74"/>
        <v>0-2 Years</v>
      </c>
      <c r="AO1178" t="str">
        <f t="shared" si="75"/>
        <v>46-55 Years</v>
      </c>
    </row>
    <row r="1179" spans="1:41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72"/>
        <v>1</v>
      </c>
      <c r="AM1179" t="str">
        <f t="shared" si="73"/>
        <v>11-15 Years</v>
      </c>
      <c r="AN1179" t="str">
        <f t="shared" si="74"/>
        <v>0-2 Years</v>
      </c>
      <c r="AO1179" t="str">
        <f t="shared" si="75"/>
        <v>46-55 Years</v>
      </c>
    </row>
    <row r="1180" spans="1:41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72"/>
        <v>1</v>
      </c>
      <c r="AM1180" t="str">
        <f t="shared" si="73"/>
        <v>0-2 Years</v>
      </c>
      <c r="AN1180" t="str">
        <f t="shared" si="74"/>
        <v>0-2 Years</v>
      </c>
      <c r="AO1180" t="str">
        <f t="shared" si="75"/>
        <v>18-25 years</v>
      </c>
    </row>
    <row r="1181" spans="1:41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72"/>
        <v>1</v>
      </c>
      <c r="AM1181" t="str">
        <f t="shared" si="73"/>
        <v>11-15 Years</v>
      </c>
      <c r="AN1181" t="str">
        <f t="shared" si="74"/>
        <v>6-10 Years</v>
      </c>
      <c r="AO1181" t="str">
        <f t="shared" si="75"/>
        <v>26-35 years</v>
      </c>
    </row>
    <row r="1182" spans="1:41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72"/>
        <v>1</v>
      </c>
      <c r="AM1182" t="str">
        <f t="shared" si="73"/>
        <v>3-5 Years</v>
      </c>
      <c r="AN1182" t="str">
        <f t="shared" si="74"/>
        <v>0-2 Years</v>
      </c>
      <c r="AO1182" t="str">
        <f t="shared" si="75"/>
        <v>36-45 years</v>
      </c>
    </row>
    <row r="1183" spans="1:41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72"/>
        <v>1</v>
      </c>
      <c r="AM1183" t="str">
        <f t="shared" si="73"/>
        <v>11-15 Years</v>
      </c>
      <c r="AN1183" t="str">
        <f t="shared" si="74"/>
        <v>0-2 Years</v>
      </c>
      <c r="AO1183" t="str">
        <f t="shared" si="75"/>
        <v>46-55 Years</v>
      </c>
    </row>
    <row r="1184" spans="1:41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72"/>
        <v>1</v>
      </c>
      <c r="AM1184" t="str">
        <f t="shared" si="73"/>
        <v>3-5 Years</v>
      </c>
      <c r="AN1184" t="str">
        <f t="shared" si="74"/>
        <v>0-2 Years</v>
      </c>
      <c r="AO1184" t="str">
        <f t="shared" si="75"/>
        <v>36-45 years</v>
      </c>
    </row>
    <row r="1185" spans="1:41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72"/>
        <v>1</v>
      </c>
      <c r="AM1185" t="str">
        <f t="shared" si="73"/>
        <v>3-5 Years</v>
      </c>
      <c r="AN1185" t="str">
        <f t="shared" si="74"/>
        <v>0-2 Years</v>
      </c>
      <c r="AO1185" t="str">
        <f t="shared" si="75"/>
        <v>36-45 years</v>
      </c>
    </row>
    <row r="1186" spans="1:41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72"/>
        <v>1</v>
      </c>
      <c r="AM1186" t="str">
        <f t="shared" si="73"/>
        <v>6-10 Years</v>
      </c>
      <c r="AN1186" t="str">
        <f t="shared" si="74"/>
        <v>3-5 Years</v>
      </c>
      <c r="AO1186" t="str">
        <f t="shared" si="75"/>
        <v>46-55 Years</v>
      </c>
    </row>
    <row r="1187" spans="1:41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72"/>
        <v>1</v>
      </c>
      <c r="AM1187" t="str">
        <f t="shared" si="73"/>
        <v>11-15 Years</v>
      </c>
      <c r="AN1187" t="str">
        <f t="shared" si="74"/>
        <v>6-10 Years</v>
      </c>
      <c r="AO1187" t="str">
        <f t="shared" si="75"/>
        <v>36-45 years</v>
      </c>
    </row>
    <row r="1188" spans="1:41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72"/>
        <v>1</v>
      </c>
      <c r="AM1188" t="str">
        <f t="shared" si="73"/>
        <v>11-15 Years</v>
      </c>
      <c r="AN1188" t="str">
        <f t="shared" si="74"/>
        <v>6-10 Years</v>
      </c>
      <c r="AO1188" t="str">
        <f t="shared" si="75"/>
        <v>26-35 years</v>
      </c>
    </row>
    <row r="1189" spans="1:41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72"/>
        <v>1</v>
      </c>
      <c r="AM1189" t="str">
        <f t="shared" si="73"/>
        <v>11-15 Years</v>
      </c>
      <c r="AN1189" t="str">
        <f t="shared" si="74"/>
        <v>0-2 Years</v>
      </c>
      <c r="AO1189" t="str">
        <f t="shared" si="75"/>
        <v>36-45 years</v>
      </c>
    </row>
    <row r="1190" spans="1:41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72"/>
        <v>1</v>
      </c>
      <c r="AM1190" t="str">
        <f t="shared" si="73"/>
        <v>6-10 Years</v>
      </c>
      <c r="AN1190" t="str">
        <f t="shared" si="74"/>
        <v>0-2 Years</v>
      </c>
      <c r="AO1190" t="str">
        <f t="shared" si="75"/>
        <v>26-35 years</v>
      </c>
    </row>
    <row r="1191" spans="1:41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72"/>
        <v>1</v>
      </c>
      <c r="AM1191" t="str">
        <f t="shared" si="73"/>
        <v>6-10 Years</v>
      </c>
      <c r="AN1191" t="str">
        <f t="shared" si="74"/>
        <v>0-2 Years</v>
      </c>
      <c r="AO1191" t="str">
        <f t="shared" si="75"/>
        <v>26-35 years</v>
      </c>
    </row>
    <row r="1192" spans="1:41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72"/>
        <v>1</v>
      </c>
      <c r="AM1192" t="str">
        <f t="shared" si="73"/>
        <v>6-10 Years</v>
      </c>
      <c r="AN1192" t="str">
        <f t="shared" si="74"/>
        <v>0-2 Years</v>
      </c>
      <c r="AO1192" t="str">
        <f t="shared" si="75"/>
        <v>26-35 years</v>
      </c>
    </row>
    <row r="1193" spans="1:41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72"/>
        <v>1</v>
      </c>
      <c r="AM1193" t="str">
        <f t="shared" si="73"/>
        <v>6-10 Years</v>
      </c>
      <c r="AN1193" t="str">
        <f t="shared" si="74"/>
        <v>0-2 Years</v>
      </c>
      <c r="AO1193" t="str">
        <f t="shared" si="75"/>
        <v>26-35 years</v>
      </c>
    </row>
    <row r="1194" spans="1:41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72"/>
        <v>1</v>
      </c>
      <c r="AM1194" t="str">
        <f t="shared" si="73"/>
        <v>0-2 Years</v>
      </c>
      <c r="AN1194" t="str">
        <f t="shared" si="74"/>
        <v>0-2 Years</v>
      </c>
      <c r="AO1194" t="str">
        <f t="shared" si="75"/>
        <v>46-55 Years</v>
      </c>
    </row>
    <row r="1195" spans="1:41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72"/>
        <v>1</v>
      </c>
      <c r="AM1195" t="str">
        <f t="shared" si="73"/>
        <v>3-5 Years</v>
      </c>
      <c r="AN1195" t="str">
        <f t="shared" si="74"/>
        <v>3-5 Years</v>
      </c>
      <c r="AO1195" t="str">
        <f t="shared" si="75"/>
        <v>36-45 years</v>
      </c>
    </row>
    <row r="1196" spans="1:41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72"/>
        <v>1</v>
      </c>
      <c r="AM1196" t="str">
        <f t="shared" si="73"/>
        <v>3-5 Years</v>
      </c>
      <c r="AN1196" t="str">
        <f t="shared" si="74"/>
        <v>0-2 Years</v>
      </c>
      <c r="AO1196" t="str">
        <f t="shared" si="75"/>
        <v>46-55 Years</v>
      </c>
    </row>
    <row r="1197" spans="1:41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72"/>
        <v>1</v>
      </c>
      <c r="AM1197" t="str">
        <f t="shared" si="73"/>
        <v>6-10 Years</v>
      </c>
      <c r="AN1197" t="str">
        <f t="shared" si="74"/>
        <v>0-2 Years</v>
      </c>
      <c r="AO1197" t="str">
        <f t="shared" si="75"/>
        <v>46-55 Years</v>
      </c>
    </row>
    <row r="1198" spans="1:41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72"/>
        <v>1</v>
      </c>
      <c r="AM1198" t="str">
        <f t="shared" si="73"/>
        <v>0-2 Years</v>
      </c>
      <c r="AN1198" t="str">
        <f t="shared" si="74"/>
        <v>0-2 Years</v>
      </c>
      <c r="AO1198" t="str">
        <f t="shared" si="75"/>
        <v>36-45 years</v>
      </c>
    </row>
    <row r="1199" spans="1:41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72"/>
        <v>1</v>
      </c>
      <c r="AM1199" t="str">
        <f t="shared" si="73"/>
        <v>0-2 Years</v>
      </c>
      <c r="AN1199" t="str">
        <f t="shared" si="74"/>
        <v>0-2 Years</v>
      </c>
      <c r="AO1199" t="str">
        <f t="shared" si="75"/>
        <v>18-25 years</v>
      </c>
    </row>
    <row r="1200" spans="1:41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72"/>
        <v>1</v>
      </c>
      <c r="AM1200" t="str">
        <f t="shared" si="73"/>
        <v>6-10 Years</v>
      </c>
      <c r="AN1200" t="str">
        <f t="shared" si="74"/>
        <v>0-2 Years</v>
      </c>
      <c r="AO1200" t="str">
        <f t="shared" si="75"/>
        <v>26-35 years</v>
      </c>
    </row>
    <row r="1201" spans="1:41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72"/>
        <v>1</v>
      </c>
      <c r="AM1201" t="str">
        <f t="shared" si="73"/>
        <v>3-5 Years</v>
      </c>
      <c r="AN1201" t="str">
        <f t="shared" si="74"/>
        <v>0-2 Years</v>
      </c>
      <c r="AO1201" t="str">
        <f t="shared" si="75"/>
        <v>36-45 years</v>
      </c>
    </row>
    <row r="1202" spans="1:41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72"/>
        <v>1</v>
      </c>
      <c r="AM1202" t="str">
        <f t="shared" si="73"/>
        <v>0-2 Years</v>
      </c>
      <c r="AN1202" t="str">
        <f t="shared" si="74"/>
        <v>0-2 Years</v>
      </c>
      <c r="AO1202" t="str">
        <f t="shared" si="75"/>
        <v>36-45 years</v>
      </c>
    </row>
    <row r="1203" spans="1:41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72"/>
        <v>1</v>
      </c>
      <c r="AM1203" t="str">
        <f t="shared" si="73"/>
        <v>3-5 Years</v>
      </c>
      <c r="AN1203" t="str">
        <f t="shared" si="74"/>
        <v>0-2 Years</v>
      </c>
      <c r="AO1203" t="str">
        <f t="shared" si="75"/>
        <v>18-25 years</v>
      </c>
    </row>
    <row r="1204" spans="1:41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72"/>
        <v>1</v>
      </c>
      <c r="AM1204" t="str">
        <f t="shared" si="73"/>
        <v>0-2 Years</v>
      </c>
      <c r="AN1204" t="str">
        <f t="shared" si="74"/>
        <v>0-2 Years</v>
      </c>
      <c r="AO1204" t="str">
        <f t="shared" si="75"/>
        <v>36-45 years</v>
      </c>
    </row>
    <row r="1205" spans="1:41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72"/>
        <v>1</v>
      </c>
      <c r="AM1205" t="str">
        <f t="shared" si="73"/>
        <v>3-5 Years</v>
      </c>
      <c r="AN1205" t="str">
        <f t="shared" si="74"/>
        <v>0-2 Years</v>
      </c>
      <c r="AO1205" t="str">
        <f t="shared" si="75"/>
        <v>46-55 Years</v>
      </c>
    </row>
    <row r="1206" spans="1:41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72"/>
        <v>1</v>
      </c>
      <c r="AM1206" t="str">
        <f t="shared" si="73"/>
        <v>6-10 Years</v>
      </c>
      <c r="AN1206" t="str">
        <f t="shared" si="74"/>
        <v>6-10 Years</v>
      </c>
      <c r="AO1206" t="str">
        <f t="shared" si="75"/>
        <v>46-55 Years</v>
      </c>
    </row>
    <row r="1207" spans="1:41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72"/>
        <v>1</v>
      </c>
      <c r="AM1207" t="str">
        <f t="shared" si="73"/>
        <v>0-2 Years</v>
      </c>
      <c r="AN1207" t="str">
        <f t="shared" si="74"/>
        <v>0-2 Years</v>
      </c>
      <c r="AO1207" t="str">
        <f t="shared" si="75"/>
        <v>26-35 years</v>
      </c>
    </row>
    <row r="1208" spans="1:41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72"/>
        <v>1</v>
      </c>
      <c r="AM1208" t="str">
        <f t="shared" si="73"/>
        <v>6-10 Years</v>
      </c>
      <c r="AN1208" t="str">
        <f t="shared" si="74"/>
        <v>3-5 Years</v>
      </c>
      <c r="AO1208" t="str">
        <f t="shared" si="75"/>
        <v>26-35 years</v>
      </c>
    </row>
    <row r="1209" spans="1:41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72"/>
        <v>1</v>
      </c>
      <c r="AM1209" t="str">
        <f t="shared" si="73"/>
        <v>3-5 Years</v>
      </c>
      <c r="AN1209" t="str">
        <f t="shared" si="74"/>
        <v>0-2 Years</v>
      </c>
      <c r="AO1209" t="str">
        <f t="shared" si="75"/>
        <v>46-55 Years</v>
      </c>
    </row>
    <row r="1210" spans="1:41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72"/>
        <v>1</v>
      </c>
      <c r="AM1210" t="str">
        <f t="shared" si="73"/>
        <v>11-15 Years</v>
      </c>
      <c r="AN1210" t="str">
        <f t="shared" si="74"/>
        <v>3-5 Years</v>
      </c>
      <c r="AO1210" t="str">
        <f t="shared" si="75"/>
        <v>26-35 years</v>
      </c>
    </row>
    <row r="1211" spans="1:41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72"/>
        <v>1</v>
      </c>
      <c r="AM1211" t="str">
        <f t="shared" si="73"/>
        <v>0-2 Years</v>
      </c>
      <c r="AN1211" t="str">
        <f t="shared" si="74"/>
        <v>0-2 Years</v>
      </c>
      <c r="AO1211" t="str">
        <f t="shared" si="75"/>
        <v>56+ years</v>
      </c>
    </row>
    <row r="1212" spans="1:41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72"/>
        <v>1</v>
      </c>
      <c r="AM1212" t="str">
        <f t="shared" si="73"/>
        <v>11-15 Years</v>
      </c>
      <c r="AN1212" t="str">
        <f t="shared" si="74"/>
        <v>0-2 Years</v>
      </c>
      <c r="AO1212" t="str">
        <f t="shared" si="75"/>
        <v>26-35 years</v>
      </c>
    </row>
    <row r="1213" spans="1:41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72"/>
        <v>1</v>
      </c>
      <c r="AM1213" t="str">
        <f t="shared" si="73"/>
        <v>6-10 Years</v>
      </c>
      <c r="AN1213" t="str">
        <f t="shared" si="74"/>
        <v>0-2 Years</v>
      </c>
      <c r="AO1213" t="str">
        <f t="shared" si="75"/>
        <v>36-45 years</v>
      </c>
    </row>
    <row r="1214" spans="1:41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72"/>
        <v>1</v>
      </c>
      <c r="AM1214" t="str">
        <f t="shared" si="73"/>
        <v>6-10 Years</v>
      </c>
      <c r="AN1214" t="str">
        <f t="shared" si="74"/>
        <v>6-10 Years</v>
      </c>
      <c r="AO1214" t="str">
        <f t="shared" si="75"/>
        <v>26-35 years</v>
      </c>
    </row>
    <row r="1215" spans="1:41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72"/>
        <v>1</v>
      </c>
      <c r="AM1215" t="str">
        <f t="shared" si="73"/>
        <v>3-5 Years</v>
      </c>
      <c r="AN1215" t="str">
        <f t="shared" si="74"/>
        <v>0-2 Years</v>
      </c>
      <c r="AO1215" t="str">
        <f t="shared" si="75"/>
        <v>18-25 years</v>
      </c>
    </row>
    <row r="1216" spans="1:41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72"/>
        <v>1</v>
      </c>
      <c r="AM1216" t="str">
        <f t="shared" si="73"/>
        <v>6-10 Years</v>
      </c>
      <c r="AN1216" t="str">
        <f t="shared" si="74"/>
        <v>6-10 Years</v>
      </c>
      <c r="AO1216" t="str">
        <f t="shared" si="75"/>
        <v>36-45 years</v>
      </c>
    </row>
    <row r="1217" spans="1:41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72"/>
        <v>1</v>
      </c>
      <c r="AM1217" t="str">
        <f t="shared" si="73"/>
        <v>3-5 Years</v>
      </c>
      <c r="AN1217" t="str">
        <f t="shared" si="74"/>
        <v>0-2 Years</v>
      </c>
      <c r="AO1217" t="str">
        <f t="shared" si="75"/>
        <v>26-35 years</v>
      </c>
    </row>
    <row r="1218" spans="1:41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si="72"/>
        <v>1</v>
      </c>
      <c r="AM1218" t="str">
        <f t="shared" si="73"/>
        <v>6-10 Years</v>
      </c>
      <c r="AN1218" t="str">
        <f t="shared" si="74"/>
        <v>6-10 Years</v>
      </c>
      <c r="AO1218" t="str">
        <f t="shared" si="75"/>
        <v>36-45 years</v>
      </c>
    </row>
    <row r="1219" spans="1:41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ref="AJ1219:AJ1282" si="76">COUNTIFS($A$2:$A$1471,A1219,$B$2:$B$1471,B1219,$C$2:$C$1471,C1219,$D$2:$D$1471,D1219,$E$2:$E$1471,E1219,$F$2:$F$1471,F1219,$G$2:$G$1471,G1219,$H$2:$H$1471,H1219,$I$2:$I$1471,I1219,$J$2:$J$1471,J1219,$K$2:$K$1471,K1219,$L$2:$L$1471,L1219,$M$2:$M$1471,M1219,$N$2:$N$1471,N1219,$O$2:$O$1471,O1219,$P$2:$P$1471,P1219,$Q$2:$Q$1471,Q1219,$R$2:$R$1471,R1219,$S$2:$S$1471,S1219,$T$2:$T$1471,T1219,$U$2:$U$1471,U1219,$V$2:$V$1471,V1219,$W$2:$W$1471,W1219,$X$2:$X$1471,X1219,$Y$2:$Y$1471,Y1219,$Z$2:$Z$1471,Z1219,$AA$2:$AA$1471,AA1219,$AB$2:$AB$1471,AB1219,$AC$2:$AC$1471,AC1219,$AD$2:$AD$1471,AD1219,$AE$2:$AE$1471,AE1219,$AF$2:$AF$1471,AF1219,$AG$2:$AG$1471,AG1219,$AH$2:$AH$1471,AH1219,$AI$2:$AI$1471,AI1219)</f>
        <v>1</v>
      </c>
      <c r="AM1219" t="str">
        <f t="shared" ref="AM1219:AM1282" si="77">IF(AF1219&lt;=2,"0-2 Years",IF(AF1219&lt;=5,"3-5 Years",IF(AF1219&lt;=10,"6-10 Years",IF(AF1219&lt;=15,"11-15 Years",IF(AF1219&lt;=20,"16-20 Years","21+ Years")))))</f>
        <v>3-5 Years</v>
      </c>
      <c r="AN1219" t="str">
        <f t="shared" ref="AN1219:AN1282" si="78">IF(AH1219&lt;=2,"0-2 Years",IF(AH1219&lt;=5,"3-5 Years",IF(AH1219&lt;=10,"6-10 Years","11-15 Years")))</f>
        <v>0-2 Years</v>
      </c>
      <c r="AO1219" t="str">
        <f t="shared" ref="AO1219:AO1282" si="79">IF(A1219&lt;=25,"18-25 years",IF(A1219&lt;=35,"26-35 years",IF(A1219&lt;=45,"36-45 years",IF(A1219&lt;=55,"46-55 Years","56+ years"))))</f>
        <v>18-25 years</v>
      </c>
    </row>
    <row r="1220" spans="1:41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76"/>
        <v>1</v>
      </c>
      <c r="AM1220" t="str">
        <f t="shared" si="77"/>
        <v>6-10 Years</v>
      </c>
      <c r="AN1220" t="str">
        <f t="shared" si="78"/>
        <v>6-10 Years</v>
      </c>
      <c r="AO1220" t="str">
        <f t="shared" si="79"/>
        <v>36-45 years</v>
      </c>
    </row>
    <row r="1221" spans="1:41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76"/>
        <v>1</v>
      </c>
      <c r="AM1221" t="str">
        <f t="shared" si="77"/>
        <v>3-5 Years</v>
      </c>
      <c r="AN1221" t="str">
        <f t="shared" si="78"/>
        <v>0-2 Years</v>
      </c>
      <c r="AO1221" t="str">
        <f t="shared" si="79"/>
        <v>26-35 years</v>
      </c>
    </row>
    <row r="1222" spans="1:41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76"/>
        <v>1</v>
      </c>
      <c r="AM1222" t="str">
        <f t="shared" si="77"/>
        <v>11-15 Years</v>
      </c>
      <c r="AN1222" t="str">
        <f t="shared" si="78"/>
        <v>6-10 Years</v>
      </c>
      <c r="AO1222" t="str">
        <f t="shared" si="79"/>
        <v>36-45 years</v>
      </c>
    </row>
    <row r="1223" spans="1:41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76"/>
        <v>1</v>
      </c>
      <c r="AM1223" t="str">
        <f t="shared" si="77"/>
        <v>21+ Years</v>
      </c>
      <c r="AN1223" t="str">
        <f t="shared" si="78"/>
        <v>11-15 Years</v>
      </c>
      <c r="AO1223" t="str">
        <f t="shared" si="79"/>
        <v>36-45 years</v>
      </c>
    </row>
    <row r="1224" spans="1:41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76"/>
        <v>1</v>
      </c>
      <c r="AM1224" t="str">
        <f t="shared" si="77"/>
        <v>0-2 Years</v>
      </c>
      <c r="AN1224" t="str">
        <f t="shared" si="78"/>
        <v>0-2 Years</v>
      </c>
      <c r="AO1224" t="str">
        <f t="shared" si="79"/>
        <v>18-25 years</v>
      </c>
    </row>
    <row r="1225" spans="1:41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76"/>
        <v>1</v>
      </c>
      <c r="AM1225" t="str">
        <f t="shared" si="77"/>
        <v>21+ Years</v>
      </c>
      <c r="AN1225" t="str">
        <f t="shared" si="78"/>
        <v>11-15 Years</v>
      </c>
      <c r="AO1225" t="str">
        <f t="shared" si="79"/>
        <v>46-55 Years</v>
      </c>
    </row>
    <row r="1226" spans="1:41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76"/>
        <v>1</v>
      </c>
      <c r="AM1226" t="str">
        <f t="shared" si="77"/>
        <v>3-5 Years</v>
      </c>
      <c r="AN1226" t="str">
        <f t="shared" si="78"/>
        <v>0-2 Years</v>
      </c>
      <c r="AO1226" t="str">
        <f t="shared" si="79"/>
        <v>26-35 years</v>
      </c>
    </row>
    <row r="1227" spans="1:41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76"/>
        <v>1</v>
      </c>
      <c r="AM1227" t="str">
        <f t="shared" si="77"/>
        <v>21+ Years</v>
      </c>
      <c r="AN1227" t="str">
        <f t="shared" si="78"/>
        <v>6-10 Years</v>
      </c>
      <c r="AO1227" t="str">
        <f t="shared" si="79"/>
        <v>36-45 years</v>
      </c>
    </row>
    <row r="1228" spans="1:41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76"/>
        <v>1</v>
      </c>
      <c r="AM1228" t="str">
        <f t="shared" si="77"/>
        <v>3-5 Years</v>
      </c>
      <c r="AN1228" t="str">
        <f t="shared" si="78"/>
        <v>0-2 Years</v>
      </c>
      <c r="AO1228" t="str">
        <f t="shared" si="79"/>
        <v>26-35 years</v>
      </c>
    </row>
    <row r="1229" spans="1:41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76"/>
        <v>1</v>
      </c>
      <c r="AM1229" t="str">
        <f t="shared" si="77"/>
        <v>3-5 Years</v>
      </c>
      <c r="AN1229" t="str">
        <f t="shared" si="78"/>
        <v>0-2 Years</v>
      </c>
      <c r="AO1229" t="str">
        <f t="shared" si="79"/>
        <v>26-35 years</v>
      </c>
    </row>
    <row r="1230" spans="1:41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76"/>
        <v>1</v>
      </c>
      <c r="AM1230" t="str">
        <f t="shared" si="77"/>
        <v>3-5 Years</v>
      </c>
      <c r="AN1230" t="str">
        <f t="shared" si="78"/>
        <v>0-2 Years</v>
      </c>
      <c r="AO1230" t="str">
        <f t="shared" si="79"/>
        <v>36-45 years</v>
      </c>
    </row>
    <row r="1231" spans="1:41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76"/>
        <v>1</v>
      </c>
      <c r="AM1231" t="str">
        <f t="shared" si="77"/>
        <v>0-2 Years</v>
      </c>
      <c r="AN1231" t="str">
        <f t="shared" si="78"/>
        <v>0-2 Years</v>
      </c>
      <c r="AO1231" t="str">
        <f t="shared" si="79"/>
        <v>36-45 years</v>
      </c>
    </row>
    <row r="1232" spans="1:41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76"/>
        <v>1</v>
      </c>
      <c r="AM1232" t="str">
        <f t="shared" si="77"/>
        <v>6-10 Years</v>
      </c>
      <c r="AN1232" t="str">
        <f t="shared" si="78"/>
        <v>0-2 Years</v>
      </c>
      <c r="AO1232" t="str">
        <f t="shared" si="79"/>
        <v>18-25 years</v>
      </c>
    </row>
    <row r="1233" spans="1:41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76"/>
        <v>1</v>
      </c>
      <c r="AM1233" t="str">
        <f t="shared" si="77"/>
        <v>6-10 Years</v>
      </c>
      <c r="AN1233" t="str">
        <f t="shared" si="78"/>
        <v>0-2 Years</v>
      </c>
      <c r="AO1233" t="str">
        <f t="shared" si="79"/>
        <v>46-55 Years</v>
      </c>
    </row>
    <row r="1234" spans="1:41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76"/>
        <v>1</v>
      </c>
      <c r="AM1234" t="str">
        <f t="shared" si="77"/>
        <v>6-10 Years</v>
      </c>
      <c r="AN1234" t="str">
        <f t="shared" si="78"/>
        <v>0-2 Years</v>
      </c>
      <c r="AO1234" t="str">
        <f t="shared" si="79"/>
        <v>26-35 years</v>
      </c>
    </row>
    <row r="1235" spans="1:41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76"/>
        <v>1</v>
      </c>
      <c r="AM1235" t="str">
        <f t="shared" si="77"/>
        <v>6-10 Years</v>
      </c>
      <c r="AN1235" t="str">
        <f t="shared" si="78"/>
        <v>0-2 Years</v>
      </c>
      <c r="AO1235" t="str">
        <f t="shared" si="79"/>
        <v>26-35 years</v>
      </c>
    </row>
    <row r="1236" spans="1:41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76"/>
        <v>1</v>
      </c>
      <c r="AM1236" t="str">
        <f t="shared" si="77"/>
        <v>0-2 Years</v>
      </c>
      <c r="AN1236" t="str">
        <f t="shared" si="78"/>
        <v>0-2 Years</v>
      </c>
      <c r="AO1236" t="str">
        <f t="shared" si="79"/>
        <v>46-55 Years</v>
      </c>
    </row>
    <row r="1237" spans="1:41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76"/>
        <v>1</v>
      </c>
      <c r="AM1237" t="str">
        <f t="shared" si="77"/>
        <v>6-10 Years</v>
      </c>
      <c r="AN1237" t="str">
        <f t="shared" si="78"/>
        <v>0-2 Years</v>
      </c>
      <c r="AO1237" t="str">
        <f t="shared" si="79"/>
        <v>46-55 Years</v>
      </c>
    </row>
    <row r="1238" spans="1:41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76"/>
        <v>1</v>
      </c>
      <c r="AM1238" t="str">
        <f t="shared" si="77"/>
        <v>0-2 Years</v>
      </c>
      <c r="AN1238" t="str">
        <f t="shared" si="78"/>
        <v>0-2 Years</v>
      </c>
      <c r="AO1238" t="str">
        <f t="shared" si="79"/>
        <v>36-45 years</v>
      </c>
    </row>
    <row r="1239" spans="1:41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76"/>
        <v>1</v>
      </c>
      <c r="AM1239" t="str">
        <f t="shared" si="77"/>
        <v>0-2 Years</v>
      </c>
      <c r="AN1239" t="str">
        <f t="shared" si="78"/>
        <v>0-2 Years</v>
      </c>
      <c r="AO1239" t="str">
        <f t="shared" si="79"/>
        <v>26-35 years</v>
      </c>
    </row>
    <row r="1240" spans="1:41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76"/>
        <v>1</v>
      </c>
      <c r="AM1240" t="str">
        <f t="shared" si="77"/>
        <v>3-5 Years</v>
      </c>
      <c r="AN1240" t="str">
        <f t="shared" si="78"/>
        <v>0-2 Years</v>
      </c>
      <c r="AO1240" t="str">
        <f t="shared" si="79"/>
        <v>18-25 years</v>
      </c>
    </row>
    <row r="1241" spans="1:41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76"/>
        <v>1</v>
      </c>
      <c r="AM1241" t="str">
        <f t="shared" si="77"/>
        <v>3-5 Years</v>
      </c>
      <c r="AN1241" t="str">
        <f t="shared" si="78"/>
        <v>0-2 Years</v>
      </c>
      <c r="AO1241" t="str">
        <f t="shared" si="79"/>
        <v>26-35 years</v>
      </c>
    </row>
    <row r="1242" spans="1:41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76"/>
        <v>1</v>
      </c>
      <c r="AM1242" t="str">
        <f t="shared" si="77"/>
        <v>6-10 Years</v>
      </c>
      <c r="AN1242" t="str">
        <f t="shared" si="78"/>
        <v>3-5 Years</v>
      </c>
      <c r="AO1242" t="str">
        <f t="shared" si="79"/>
        <v>36-45 years</v>
      </c>
    </row>
    <row r="1243" spans="1:41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76"/>
        <v>1</v>
      </c>
      <c r="AM1243" t="str">
        <f t="shared" si="77"/>
        <v>3-5 Years</v>
      </c>
      <c r="AN1243" t="str">
        <f t="shared" si="78"/>
        <v>0-2 Years</v>
      </c>
      <c r="AO1243" t="str">
        <f t="shared" si="79"/>
        <v>26-35 years</v>
      </c>
    </row>
    <row r="1244" spans="1:41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76"/>
        <v>1</v>
      </c>
      <c r="AM1244" t="str">
        <f t="shared" si="77"/>
        <v>21+ Years</v>
      </c>
      <c r="AN1244" t="str">
        <f t="shared" si="78"/>
        <v>11-15 Years</v>
      </c>
      <c r="AO1244" t="str">
        <f t="shared" si="79"/>
        <v>36-45 years</v>
      </c>
    </row>
    <row r="1245" spans="1:41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76"/>
        <v>1</v>
      </c>
      <c r="AM1245" t="str">
        <f t="shared" si="77"/>
        <v>3-5 Years</v>
      </c>
      <c r="AN1245" t="str">
        <f t="shared" si="78"/>
        <v>0-2 Years</v>
      </c>
      <c r="AO1245" t="str">
        <f t="shared" si="79"/>
        <v>36-45 years</v>
      </c>
    </row>
    <row r="1246" spans="1:41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76"/>
        <v>1</v>
      </c>
      <c r="AM1246" t="str">
        <f t="shared" si="77"/>
        <v>6-10 Years</v>
      </c>
      <c r="AN1246" t="str">
        <f t="shared" si="78"/>
        <v>0-2 Years</v>
      </c>
      <c r="AO1246" t="str">
        <f t="shared" si="79"/>
        <v>26-35 years</v>
      </c>
    </row>
    <row r="1247" spans="1:41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76"/>
        <v>1</v>
      </c>
      <c r="AM1247" t="str">
        <f t="shared" si="77"/>
        <v>0-2 Years</v>
      </c>
      <c r="AN1247" t="str">
        <f t="shared" si="78"/>
        <v>0-2 Years</v>
      </c>
      <c r="AO1247" t="str">
        <f t="shared" si="79"/>
        <v>18-25 years</v>
      </c>
    </row>
    <row r="1248" spans="1:41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76"/>
        <v>1</v>
      </c>
      <c r="AM1248" t="str">
        <f t="shared" si="77"/>
        <v>3-5 Years</v>
      </c>
      <c r="AN1248" t="str">
        <f t="shared" si="78"/>
        <v>0-2 Years</v>
      </c>
      <c r="AO1248" t="str">
        <f t="shared" si="79"/>
        <v>26-35 years</v>
      </c>
    </row>
    <row r="1249" spans="1:41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76"/>
        <v>1</v>
      </c>
      <c r="AM1249" t="str">
        <f t="shared" si="77"/>
        <v>3-5 Years</v>
      </c>
      <c r="AN1249" t="str">
        <f t="shared" si="78"/>
        <v>0-2 Years</v>
      </c>
      <c r="AO1249" t="str">
        <f t="shared" si="79"/>
        <v>26-35 years</v>
      </c>
    </row>
    <row r="1250" spans="1:41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76"/>
        <v>1</v>
      </c>
      <c r="AM1250" t="str">
        <f t="shared" si="77"/>
        <v>6-10 Years</v>
      </c>
      <c r="AN1250" t="str">
        <f t="shared" si="78"/>
        <v>0-2 Years</v>
      </c>
      <c r="AO1250" t="str">
        <f t="shared" si="79"/>
        <v>26-35 years</v>
      </c>
    </row>
    <row r="1251" spans="1:41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76"/>
        <v>1</v>
      </c>
      <c r="AM1251" t="str">
        <f t="shared" si="77"/>
        <v>0-2 Years</v>
      </c>
      <c r="AN1251" t="str">
        <f t="shared" si="78"/>
        <v>0-2 Years</v>
      </c>
      <c r="AO1251" t="str">
        <f t="shared" si="79"/>
        <v>26-35 years</v>
      </c>
    </row>
    <row r="1252" spans="1:41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76"/>
        <v>1</v>
      </c>
      <c r="AM1252" t="str">
        <f t="shared" si="77"/>
        <v>3-5 Years</v>
      </c>
      <c r="AN1252" t="str">
        <f t="shared" si="78"/>
        <v>0-2 Years</v>
      </c>
      <c r="AO1252" t="str">
        <f t="shared" si="79"/>
        <v>26-35 years</v>
      </c>
    </row>
    <row r="1253" spans="1:41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76"/>
        <v>1</v>
      </c>
      <c r="AM1253" t="str">
        <f t="shared" si="77"/>
        <v>6-10 Years</v>
      </c>
      <c r="AN1253" t="str">
        <f t="shared" si="78"/>
        <v>0-2 Years</v>
      </c>
      <c r="AO1253" t="str">
        <f t="shared" si="79"/>
        <v>26-35 years</v>
      </c>
    </row>
    <row r="1254" spans="1:41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76"/>
        <v>1</v>
      </c>
      <c r="AM1254" t="str">
        <f t="shared" si="77"/>
        <v>3-5 Years</v>
      </c>
      <c r="AN1254" t="str">
        <f t="shared" si="78"/>
        <v>0-2 Years</v>
      </c>
      <c r="AO1254" t="str">
        <f t="shared" si="79"/>
        <v>26-35 years</v>
      </c>
    </row>
    <row r="1255" spans="1:41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76"/>
        <v>1</v>
      </c>
      <c r="AM1255" t="str">
        <f t="shared" si="77"/>
        <v>11-15 Years</v>
      </c>
      <c r="AN1255" t="str">
        <f t="shared" si="78"/>
        <v>0-2 Years</v>
      </c>
      <c r="AO1255" t="str">
        <f t="shared" si="79"/>
        <v>26-35 years</v>
      </c>
    </row>
    <row r="1256" spans="1:41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76"/>
        <v>1</v>
      </c>
      <c r="AM1256" t="str">
        <f t="shared" si="77"/>
        <v>3-5 Years</v>
      </c>
      <c r="AN1256" t="str">
        <f t="shared" si="78"/>
        <v>0-2 Years</v>
      </c>
      <c r="AO1256" t="str">
        <f t="shared" si="79"/>
        <v>46-55 Years</v>
      </c>
    </row>
    <row r="1257" spans="1:41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76"/>
        <v>1</v>
      </c>
      <c r="AM1257" t="str">
        <f t="shared" si="77"/>
        <v>0-2 Years</v>
      </c>
      <c r="AN1257" t="str">
        <f t="shared" si="78"/>
        <v>0-2 Years</v>
      </c>
      <c r="AO1257" t="str">
        <f t="shared" si="79"/>
        <v>26-35 years</v>
      </c>
    </row>
    <row r="1258" spans="1:41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76"/>
        <v>1</v>
      </c>
      <c r="AM1258" t="str">
        <f t="shared" si="77"/>
        <v>6-10 Years</v>
      </c>
      <c r="AN1258" t="str">
        <f t="shared" si="78"/>
        <v>0-2 Years</v>
      </c>
      <c r="AO1258" t="str">
        <f t="shared" si="79"/>
        <v>36-45 years</v>
      </c>
    </row>
    <row r="1259" spans="1:41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76"/>
        <v>1</v>
      </c>
      <c r="AM1259" t="str">
        <f t="shared" si="77"/>
        <v>0-2 Years</v>
      </c>
      <c r="AN1259" t="str">
        <f t="shared" si="78"/>
        <v>0-2 Years</v>
      </c>
      <c r="AO1259" t="str">
        <f t="shared" si="79"/>
        <v>26-35 years</v>
      </c>
    </row>
    <row r="1260" spans="1:41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76"/>
        <v>1</v>
      </c>
      <c r="AM1260" t="str">
        <f t="shared" si="77"/>
        <v>0-2 Years</v>
      </c>
      <c r="AN1260" t="str">
        <f t="shared" si="78"/>
        <v>0-2 Years</v>
      </c>
      <c r="AO1260" t="str">
        <f t="shared" si="79"/>
        <v>26-35 years</v>
      </c>
    </row>
    <row r="1261" spans="1:41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76"/>
        <v>1</v>
      </c>
      <c r="AM1261" t="str">
        <f t="shared" si="77"/>
        <v>6-10 Years</v>
      </c>
      <c r="AN1261" t="str">
        <f t="shared" si="78"/>
        <v>0-2 Years</v>
      </c>
      <c r="AO1261" t="str">
        <f t="shared" si="79"/>
        <v>26-35 years</v>
      </c>
    </row>
    <row r="1262" spans="1:41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76"/>
        <v>1</v>
      </c>
      <c r="AM1262" t="str">
        <f t="shared" si="77"/>
        <v>6-10 Years</v>
      </c>
      <c r="AN1262" t="str">
        <f t="shared" si="78"/>
        <v>0-2 Years</v>
      </c>
      <c r="AO1262" t="str">
        <f t="shared" si="79"/>
        <v>26-35 years</v>
      </c>
    </row>
    <row r="1263" spans="1:41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76"/>
        <v>1</v>
      </c>
      <c r="AM1263" t="str">
        <f t="shared" si="77"/>
        <v>0-2 Years</v>
      </c>
      <c r="AN1263" t="str">
        <f t="shared" si="78"/>
        <v>0-2 Years</v>
      </c>
      <c r="AO1263" t="str">
        <f t="shared" si="79"/>
        <v>36-45 years</v>
      </c>
    </row>
    <row r="1264" spans="1:41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76"/>
        <v>1</v>
      </c>
      <c r="AM1264" t="str">
        <f t="shared" si="77"/>
        <v>0-2 Years</v>
      </c>
      <c r="AN1264" t="str">
        <f t="shared" si="78"/>
        <v>0-2 Years</v>
      </c>
      <c r="AO1264" t="str">
        <f t="shared" si="79"/>
        <v>36-45 years</v>
      </c>
    </row>
    <row r="1265" spans="1:41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76"/>
        <v>1</v>
      </c>
      <c r="AM1265" t="str">
        <f t="shared" si="77"/>
        <v>3-5 Years</v>
      </c>
      <c r="AN1265" t="str">
        <f t="shared" si="78"/>
        <v>0-2 Years</v>
      </c>
      <c r="AO1265" t="str">
        <f t="shared" si="79"/>
        <v>36-45 years</v>
      </c>
    </row>
    <row r="1266" spans="1:41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76"/>
        <v>1</v>
      </c>
      <c r="AM1266" t="str">
        <f t="shared" si="77"/>
        <v>0-2 Years</v>
      </c>
      <c r="AN1266" t="str">
        <f t="shared" si="78"/>
        <v>0-2 Years</v>
      </c>
      <c r="AO1266" t="str">
        <f t="shared" si="79"/>
        <v>46-55 Years</v>
      </c>
    </row>
    <row r="1267" spans="1:41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76"/>
        <v>1</v>
      </c>
      <c r="AM1267" t="str">
        <f t="shared" si="77"/>
        <v>6-10 Years</v>
      </c>
      <c r="AN1267" t="str">
        <f t="shared" si="78"/>
        <v>0-2 Years</v>
      </c>
      <c r="AO1267" t="str">
        <f t="shared" si="79"/>
        <v>26-35 years</v>
      </c>
    </row>
    <row r="1268" spans="1:41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76"/>
        <v>1</v>
      </c>
      <c r="AM1268" t="str">
        <f t="shared" si="77"/>
        <v>3-5 Years</v>
      </c>
      <c r="AN1268" t="str">
        <f t="shared" si="78"/>
        <v>0-2 Years</v>
      </c>
      <c r="AO1268" t="str">
        <f t="shared" si="79"/>
        <v>36-45 years</v>
      </c>
    </row>
    <row r="1269" spans="1:41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76"/>
        <v>1</v>
      </c>
      <c r="AM1269" t="str">
        <f t="shared" si="77"/>
        <v>11-15 Years</v>
      </c>
      <c r="AN1269" t="str">
        <f t="shared" si="78"/>
        <v>0-2 Years</v>
      </c>
      <c r="AO1269" t="str">
        <f t="shared" si="79"/>
        <v>26-35 years</v>
      </c>
    </row>
    <row r="1270" spans="1:41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76"/>
        <v>1</v>
      </c>
      <c r="AM1270" t="str">
        <f t="shared" si="77"/>
        <v>3-5 Years</v>
      </c>
      <c r="AN1270" t="str">
        <f t="shared" si="78"/>
        <v>0-2 Years</v>
      </c>
      <c r="AO1270" t="str">
        <f t="shared" si="79"/>
        <v>46-55 Years</v>
      </c>
    </row>
    <row r="1271" spans="1:41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76"/>
        <v>1</v>
      </c>
      <c r="AM1271" t="str">
        <f t="shared" si="77"/>
        <v>6-10 Years</v>
      </c>
      <c r="AN1271" t="str">
        <f t="shared" si="78"/>
        <v>0-2 Years</v>
      </c>
      <c r="AO1271" t="str">
        <f t="shared" si="79"/>
        <v>36-45 years</v>
      </c>
    </row>
    <row r="1272" spans="1:41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76"/>
        <v>1</v>
      </c>
      <c r="AM1272" t="str">
        <f t="shared" si="77"/>
        <v>0-2 Years</v>
      </c>
      <c r="AN1272" t="str">
        <f t="shared" si="78"/>
        <v>0-2 Years</v>
      </c>
      <c r="AO1272" t="str">
        <f t="shared" si="79"/>
        <v>26-35 years</v>
      </c>
    </row>
    <row r="1273" spans="1:41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76"/>
        <v>1</v>
      </c>
      <c r="AM1273" t="str">
        <f t="shared" si="77"/>
        <v>0-2 Years</v>
      </c>
      <c r="AN1273" t="str">
        <f t="shared" si="78"/>
        <v>0-2 Years</v>
      </c>
      <c r="AO1273" t="str">
        <f t="shared" si="79"/>
        <v>18-25 years</v>
      </c>
    </row>
    <row r="1274" spans="1:41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76"/>
        <v>1</v>
      </c>
      <c r="AM1274" t="str">
        <f t="shared" si="77"/>
        <v>3-5 Years</v>
      </c>
      <c r="AN1274" t="str">
        <f t="shared" si="78"/>
        <v>0-2 Years</v>
      </c>
      <c r="AO1274" t="str">
        <f t="shared" si="79"/>
        <v>36-45 years</v>
      </c>
    </row>
    <row r="1275" spans="1:41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76"/>
        <v>1</v>
      </c>
      <c r="AM1275" t="str">
        <f t="shared" si="77"/>
        <v>0-2 Years</v>
      </c>
      <c r="AN1275" t="str">
        <f t="shared" si="78"/>
        <v>0-2 Years</v>
      </c>
      <c r="AO1275" t="str">
        <f t="shared" si="79"/>
        <v>18-25 years</v>
      </c>
    </row>
    <row r="1276" spans="1:41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76"/>
        <v>1</v>
      </c>
      <c r="AM1276" t="str">
        <f t="shared" si="77"/>
        <v>11-15 Years</v>
      </c>
      <c r="AN1276" t="str">
        <f t="shared" si="78"/>
        <v>3-5 Years</v>
      </c>
      <c r="AO1276" t="str">
        <f t="shared" si="79"/>
        <v>26-35 years</v>
      </c>
    </row>
    <row r="1277" spans="1:41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76"/>
        <v>1</v>
      </c>
      <c r="AM1277" t="str">
        <f t="shared" si="77"/>
        <v>0-2 Years</v>
      </c>
      <c r="AN1277" t="str">
        <f t="shared" si="78"/>
        <v>0-2 Years</v>
      </c>
      <c r="AO1277" t="str">
        <f t="shared" si="79"/>
        <v>46-55 Years</v>
      </c>
    </row>
    <row r="1278" spans="1:41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76"/>
        <v>1</v>
      </c>
      <c r="AM1278" t="str">
        <f t="shared" si="77"/>
        <v>3-5 Years</v>
      </c>
      <c r="AN1278" t="str">
        <f t="shared" si="78"/>
        <v>0-2 Years</v>
      </c>
      <c r="AO1278" t="str">
        <f t="shared" si="79"/>
        <v>36-45 years</v>
      </c>
    </row>
    <row r="1279" spans="1:41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76"/>
        <v>1</v>
      </c>
      <c r="AM1279" t="str">
        <f t="shared" si="77"/>
        <v>0-2 Years</v>
      </c>
      <c r="AN1279" t="str">
        <f t="shared" si="78"/>
        <v>0-2 Years</v>
      </c>
      <c r="AO1279" t="str">
        <f t="shared" si="79"/>
        <v>46-55 Years</v>
      </c>
    </row>
    <row r="1280" spans="1:41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76"/>
        <v>1</v>
      </c>
      <c r="AM1280" t="str">
        <f t="shared" si="77"/>
        <v>11-15 Years</v>
      </c>
      <c r="AN1280" t="str">
        <f t="shared" si="78"/>
        <v>3-5 Years</v>
      </c>
      <c r="AO1280" t="str">
        <f t="shared" si="79"/>
        <v>36-45 years</v>
      </c>
    </row>
    <row r="1281" spans="1:41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76"/>
        <v>1</v>
      </c>
      <c r="AM1281" t="str">
        <f t="shared" si="77"/>
        <v>3-5 Years</v>
      </c>
      <c r="AN1281" t="str">
        <f t="shared" si="78"/>
        <v>0-2 Years</v>
      </c>
      <c r="AO1281" t="str">
        <f t="shared" si="79"/>
        <v>36-45 years</v>
      </c>
    </row>
    <row r="1282" spans="1:41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si="76"/>
        <v>1</v>
      </c>
      <c r="AM1282" t="str">
        <f t="shared" si="77"/>
        <v>6-10 Years</v>
      </c>
      <c r="AN1282" t="str">
        <f t="shared" si="78"/>
        <v>3-5 Years</v>
      </c>
      <c r="AO1282" t="str">
        <f t="shared" si="79"/>
        <v>36-45 years</v>
      </c>
    </row>
    <row r="1283" spans="1:41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ref="AJ1283:AJ1346" si="80">COUNTIFS($A$2:$A$1471,A1283,$B$2:$B$1471,B1283,$C$2:$C$1471,C1283,$D$2:$D$1471,D1283,$E$2:$E$1471,E1283,$F$2:$F$1471,F1283,$G$2:$G$1471,G1283,$H$2:$H$1471,H1283,$I$2:$I$1471,I1283,$J$2:$J$1471,J1283,$K$2:$K$1471,K1283,$L$2:$L$1471,L1283,$M$2:$M$1471,M1283,$N$2:$N$1471,N1283,$O$2:$O$1471,O1283,$P$2:$P$1471,P1283,$Q$2:$Q$1471,Q1283,$R$2:$R$1471,R1283,$S$2:$S$1471,S1283,$T$2:$T$1471,T1283,$U$2:$U$1471,U1283,$V$2:$V$1471,V1283,$W$2:$W$1471,W1283,$X$2:$X$1471,X1283,$Y$2:$Y$1471,Y1283,$Z$2:$Z$1471,Z1283,$AA$2:$AA$1471,AA1283,$AB$2:$AB$1471,AB1283,$AC$2:$AC$1471,AC1283,$AD$2:$AD$1471,AD1283,$AE$2:$AE$1471,AE1283,$AF$2:$AF$1471,AF1283,$AG$2:$AG$1471,AG1283,$AH$2:$AH$1471,AH1283,$AI$2:$AI$1471,AI1283)</f>
        <v>1</v>
      </c>
      <c r="AM1283" t="str">
        <f t="shared" ref="AM1283:AM1346" si="81">IF(AF1283&lt;=2,"0-2 Years",IF(AF1283&lt;=5,"3-5 Years",IF(AF1283&lt;=10,"6-10 Years",IF(AF1283&lt;=15,"11-15 Years",IF(AF1283&lt;=20,"16-20 Years","21+ Years")))))</f>
        <v>6-10 Years</v>
      </c>
      <c r="AN1283" t="str">
        <f t="shared" ref="AN1283:AN1346" si="82">IF(AH1283&lt;=2,"0-2 Years",IF(AH1283&lt;=5,"3-5 Years",IF(AH1283&lt;=10,"6-10 Years","11-15 Years")))</f>
        <v>6-10 Years</v>
      </c>
      <c r="AO1283" t="str">
        <f t="shared" ref="AO1283:AO1346" si="83">IF(A1283&lt;=25,"18-25 years",IF(A1283&lt;=35,"26-35 years",IF(A1283&lt;=45,"36-45 years",IF(A1283&lt;=55,"46-55 Years","56+ years"))))</f>
        <v>26-35 years</v>
      </c>
    </row>
    <row r="1284" spans="1:41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80"/>
        <v>1</v>
      </c>
      <c r="AM1284" t="str">
        <f t="shared" si="81"/>
        <v>6-10 Years</v>
      </c>
      <c r="AN1284" t="str">
        <f t="shared" si="82"/>
        <v>6-10 Years</v>
      </c>
      <c r="AO1284" t="str">
        <f t="shared" si="83"/>
        <v>26-35 years</v>
      </c>
    </row>
    <row r="1285" spans="1:41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80"/>
        <v>1</v>
      </c>
      <c r="AM1285" t="str">
        <f t="shared" si="81"/>
        <v>3-5 Years</v>
      </c>
      <c r="AN1285" t="str">
        <f t="shared" si="82"/>
        <v>0-2 Years</v>
      </c>
      <c r="AO1285" t="str">
        <f t="shared" si="83"/>
        <v>26-35 years</v>
      </c>
    </row>
    <row r="1286" spans="1:41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80"/>
        <v>1</v>
      </c>
      <c r="AM1286" t="str">
        <f t="shared" si="81"/>
        <v>3-5 Years</v>
      </c>
      <c r="AN1286" t="str">
        <f t="shared" si="82"/>
        <v>0-2 Years</v>
      </c>
      <c r="AO1286" t="str">
        <f t="shared" si="83"/>
        <v>36-45 years</v>
      </c>
    </row>
    <row r="1287" spans="1:41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80"/>
        <v>1</v>
      </c>
      <c r="AM1287" t="str">
        <f t="shared" si="81"/>
        <v>0-2 Years</v>
      </c>
      <c r="AN1287" t="str">
        <f t="shared" si="82"/>
        <v>0-2 Years</v>
      </c>
      <c r="AO1287" t="str">
        <f t="shared" si="83"/>
        <v>46-55 Years</v>
      </c>
    </row>
    <row r="1288" spans="1:41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80"/>
        <v>1</v>
      </c>
      <c r="AM1288" t="str">
        <f t="shared" si="81"/>
        <v>3-5 Years</v>
      </c>
      <c r="AN1288" t="str">
        <f t="shared" si="82"/>
        <v>0-2 Years</v>
      </c>
      <c r="AO1288" t="str">
        <f t="shared" si="83"/>
        <v>36-45 years</v>
      </c>
    </row>
    <row r="1289" spans="1:41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80"/>
        <v>1</v>
      </c>
      <c r="AM1289" t="str">
        <f t="shared" si="81"/>
        <v>0-2 Years</v>
      </c>
      <c r="AN1289" t="str">
        <f t="shared" si="82"/>
        <v>0-2 Years</v>
      </c>
      <c r="AO1289" t="str">
        <f t="shared" si="83"/>
        <v>36-45 years</v>
      </c>
    </row>
    <row r="1290" spans="1:41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80"/>
        <v>1</v>
      </c>
      <c r="AM1290" t="str">
        <f t="shared" si="81"/>
        <v>6-10 Years</v>
      </c>
      <c r="AN1290" t="str">
        <f t="shared" si="82"/>
        <v>0-2 Years</v>
      </c>
      <c r="AO1290" t="str">
        <f t="shared" si="83"/>
        <v>26-35 years</v>
      </c>
    </row>
    <row r="1291" spans="1:41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80"/>
        <v>1</v>
      </c>
      <c r="AM1291" t="str">
        <f t="shared" si="81"/>
        <v>11-15 Years</v>
      </c>
      <c r="AN1291" t="str">
        <f t="shared" si="82"/>
        <v>3-5 Years</v>
      </c>
      <c r="AO1291" t="str">
        <f t="shared" si="83"/>
        <v>36-45 years</v>
      </c>
    </row>
    <row r="1292" spans="1:41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80"/>
        <v>1</v>
      </c>
      <c r="AM1292" t="str">
        <f t="shared" si="81"/>
        <v>6-10 Years</v>
      </c>
      <c r="AN1292" t="str">
        <f t="shared" si="82"/>
        <v>0-2 Years</v>
      </c>
      <c r="AO1292" t="str">
        <f t="shared" si="83"/>
        <v>26-35 years</v>
      </c>
    </row>
    <row r="1293" spans="1:41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80"/>
        <v>1</v>
      </c>
      <c r="AM1293" t="str">
        <f t="shared" si="81"/>
        <v>6-10 Years</v>
      </c>
      <c r="AN1293" t="str">
        <f t="shared" si="82"/>
        <v>0-2 Years</v>
      </c>
      <c r="AO1293" t="str">
        <f t="shared" si="83"/>
        <v>36-45 years</v>
      </c>
    </row>
    <row r="1294" spans="1:41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80"/>
        <v>1</v>
      </c>
      <c r="AM1294" t="str">
        <f t="shared" si="81"/>
        <v>0-2 Years</v>
      </c>
      <c r="AN1294" t="str">
        <f t="shared" si="82"/>
        <v>0-2 Years</v>
      </c>
      <c r="AO1294" t="str">
        <f t="shared" si="83"/>
        <v>36-45 years</v>
      </c>
    </row>
    <row r="1295" spans="1:41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80"/>
        <v>1</v>
      </c>
      <c r="AM1295" t="str">
        <f t="shared" si="81"/>
        <v>3-5 Years</v>
      </c>
      <c r="AN1295" t="str">
        <f t="shared" si="82"/>
        <v>0-2 Years</v>
      </c>
      <c r="AO1295" t="str">
        <f t="shared" si="83"/>
        <v>36-45 years</v>
      </c>
    </row>
    <row r="1296" spans="1:41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80"/>
        <v>1</v>
      </c>
      <c r="AM1296" t="str">
        <f t="shared" si="81"/>
        <v>3-5 Years</v>
      </c>
      <c r="AN1296" t="str">
        <f t="shared" si="82"/>
        <v>0-2 Years</v>
      </c>
      <c r="AO1296" t="str">
        <f t="shared" si="83"/>
        <v>36-45 years</v>
      </c>
    </row>
    <row r="1297" spans="1:41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80"/>
        <v>1</v>
      </c>
      <c r="AM1297" t="str">
        <f t="shared" si="81"/>
        <v>21+ Years</v>
      </c>
      <c r="AN1297" t="str">
        <f t="shared" si="82"/>
        <v>11-15 Years</v>
      </c>
      <c r="AO1297" t="str">
        <f t="shared" si="83"/>
        <v>36-45 years</v>
      </c>
    </row>
    <row r="1298" spans="1:41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80"/>
        <v>1</v>
      </c>
      <c r="AM1298" t="str">
        <f t="shared" si="81"/>
        <v>6-10 Years</v>
      </c>
      <c r="AN1298" t="str">
        <f t="shared" si="82"/>
        <v>0-2 Years</v>
      </c>
      <c r="AO1298" t="str">
        <f t="shared" si="83"/>
        <v>26-35 years</v>
      </c>
    </row>
    <row r="1299" spans="1:41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80"/>
        <v>1</v>
      </c>
      <c r="AM1299" t="str">
        <f t="shared" si="81"/>
        <v>3-5 Years</v>
      </c>
      <c r="AN1299" t="str">
        <f t="shared" si="82"/>
        <v>0-2 Years</v>
      </c>
      <c r="AO1299" t="str">
        <f t="shared" si="83"/>
        <v>26-35 years</v>
      </c>
    </row>
    <row r="1300" spans="1:41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80"/>
        <v>1</v>
      </c>
      <c r="AM1300" t="str">
        <f t="shared" si="81"/>
        <v>6-10 Years</v>
      </c>
      <c r="AN1300" t="str">
        <f t="shared" si="82"/>
        <v>3-5 Years</v>
      </c>
      <c r="AO1300" t="str">
        <f t="shared" si="83"/>
        <v>46-55 Years</v>
      </c>
    </row>
    <row r="1301" spans="1:41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80"/>
        <v>1</v>
      </c>
      <c r="AM1301" t="str">
        <f t="shared" si="81"/>
        <v>3-5 Years</v>
      </c>
      <c r="AN1301" t="str">
        <f t="shared" si="82"/>
        <v>0-2 Years</v>
      </c>
      <c r="AO1301" t="str">
        <f t="shared" si="83"/>
        <v>36-45 years</v>
      </c>
    </row>
    <row r="1302" spans="1:41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80"/>
        <v>1</v>
      </c>
      <c r="AM1302" t="str">
        <f t="shared" si="81"/>
        <v>6-10 Years</v>
      </c>
      <c r="AN1302" t="str">
        <f t="shared" si="82"/>
        <v>3-5 Years</v>
      </c>
      <c r="AO1302" t="str">
        <f t="shared" si="83"/>
        <v>26-35 years</v>
      </c>
    </row>
    <row r="1303" spans="1:41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80"/>
        <v>1</v>
      </c>
      <c r="AM1303" t="str">
        <f t="shared" si="81"/>
        <v>16-20 Years</v>
      </c>
      <c r="AN1303" t="str">
        <f t="shared" si="82"/>
        <v>11-15 Years</v>
      </c>
      <c r="AO1303" t="str">
        <f t="shared" si="83"/>
        <v>56+ years</v>
      </c>
    </row>
    <row r="1304" spans="1:41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80"/>
        <v>1</v>
      </c>
      <c r="AM1304" t="str">
        <f t="shared" si="81"/>
        <v>3-5 Years</v>
      </c>
      <c r="AN1304" t="str">
        <f t="shared" si="82"/>
        <v>0-2 Years</v>
      </c>
      <c r="AO1304" t="str">
        <f t="shared" si="83"/>
        <v>26-35 years</v>
      </c>
    </row>
    <row r="1305" spans="1:41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80"/>
        <v>1</v>
      </c>
      <c r="AM1305" t="str">
        <f t="shared" si="81"/>
        <v>21+ Years</v>
      </c>
      <c r="AN1305" t="str">
        <f t="shared" si="82"/>
        <v>11-15 Years</v>
      </c>
      <c r="AO1305" t="str">
        <f t="shared" si="83"/>
        <v>46-55 Years</v>
      </c>
    </row>
    <row r="1306" spans="1:41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80"/>
        <v>1</v>
      </c>
      <c r="AM1306" t="str">
        <f t="shared" si="81"/>
        <v>6-10 Years</v>
      </c>
      <c r="AN1306" t="str">
        <f t="shared" si="82"/>
        <v>6-10 Years</v>
      </c>
      <c r="AO1306" t="str">
        <f t="shared" si="83"/>
        <v>36-45 years</v>
      </c>
    </row>
    <row r="1307" spans="1:41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80"/>
        <v>1</v>
      </c>
      <c r="AM1307" t="str">
        <f t="shared" si="81"/>
        <v>6-10 Years</v>
      </c>
      <c r="AN1307" t="str">
        <f t="shared" si="82"/>
        <v>0-2 Years</v>
      </c>
      <c r="AO1307" t="str">
        <f t="shared" si="83"/>
        <v>46-55 Years</v>
      </c>
    </row>
    <row r="1308" spans="1:41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80"/>
        <v>1</v>
      </c>
      <c r="AM1308" t="str">
        <f t="shared" si="81"/>
        <v>3-5 Years</v>
      </c>
      <c r="AN1308" t="str">
        <f t="shared" si="82"/>
        <v>0-2 Years</v>
      </c>
      <c r="AO1308" t="str">
        <f t="shared" si="83"/>
        <v>26-35 years</v>
      </c>
    </row>
    <row r="1309" spans="1:41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80"/>
        <v>1</v>
      </c>
      <c r="AM1309" t="str">
        <f t="shared" si="81"/>
        <v>3-5 Years</v>
      </c>
      <c r="AN1309" t="str">
        <f t="shared" si="82"/>
        <v>0-2 Years</v>
      </c>
      <c r="AO1309" t="str">
        <f t="shared" si="83"/>
        <v>26-35 years</v>
      </c>
    </row>
    <row r="1310" spans="1:41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80"/>
        <v>1</v>
      </c>
      <c r="AM1310" t="str">
        <f t="shared" si="81"/>
        <v>3-5 Years</v>
      </c>
      <c r="AN1310" t="str">
        <f t="shared" si="82"/>
        <v>0-2 Years</v>
      </c>
      <c r="AO1310" t="str">
        <f t="shared" si="83"/>
        <v>36-45 years</v>
      </c>
    </row>
    <row r="1311" spans="1:41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80"/>
        <v>1</v>
      </c>
      <c r="AM1311" t="str">
        <f t="shared" si="81"/>
        <v>3-5 Years</v>
      </c>
      <c r="AN1311" t="str">
        <f t="shared" si="82"/>
        <v>0-2 Years</v>
      </c>
      <c r="AO1311" t="str">
        <f t="shared" si="83"/>
        <v>26-35 years</v>
      </c>
    </row>
    <row r="1312" spans="1:41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80"/>
        <v>1</v>
      </c>
      <c r="AM1312" t="str">
        <f t="shared" si="81"/>
        <v>0-2 Years</v>
      </c>
      <c r="AN1312" t="str">
        <f t="shared" si="82"/>
        <v>0-2 Years</v>
      </c>
      <c r="AO1312" t="str">
        <f t="shared" si="83"/>
        <v>56+ years</v>
      </c>
    </row>
    <row r="1313" spans="1:41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80"/>
        <v>1</v>
      </c>
      <c r="AM1313" t="str">
        <f t="shared" si="81"/>
        <v>0-2 Years</v>
      </c>
      <c r="AN1313" t="str">
        <f t="shared" si="82"/>
        <v>0-2 Years</v>
      </c>
      <c r="AO1313" t="str">
        <f t="shared" si="83"/>
        <v>18-25 years</v>
      </c>
    </row>
    <row r="1314" spans="1:41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80"/>
        <v>1</v>
      </c>
      <c r="AM1314" t="str">
        <f t="shared" si="81"/>
        <v>0-2 Years</v>
      </c>
      <c r="AN1314" t="str">
        <f t="shared" si="82"/>
        <v>0-2 Years</v>
      </c>
      <c r="AO1314" t="str">
        <f t="shared" si="83"/>
        <v>26-35 years</v>
      </c>
    </row>
    <row r="1315" spans="1:41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80"/>
        <v>1</v>
      </c>
      <c r="AM1315" t="str">
        <f t="shared" si="81"/>
        <v>0-2 Years</v>
      </c>
      <c r="AN1315" t="str">
        <f t="shared" si="82"/>
        <v>0-2 Years</v>
      </c>
      <c r="AO1315" t="str">
        <f t="shared" si="83"/>
        <v>26-35 years</v>
      </c>
    </row>
    <row r="1316" spans="1:41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80"/>
        <v>1</v>
      </c>
      <c r="AM1316" t="str">
        <f t="shared" si="81"/>
        <v>6-10 Years</v>
      </c>
      <c r="AN1316" t="str">
        <f t="shared" si="82"/>
        <v>3-5 Years</v>
      </c>
      <c r="AO1316" t="str">
        <f t="shared" si="83"/>
        <v>36-45 years</v>
      </c>
    </row>
    <row r="1317" spans="1:41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80"/>
        <v>1</v>
      </c>
      <c r="AM1317" t="str">
        <f t="shared" si="81"/>
        <v>0-2 Years</v>
      </c>
      <c r="AN1317" t="str">
        <f t="shared" si="82"/>
        <v>0-2 Years</v>
      </c>
      <c r="AO1317" t="str">
        <f t="shared" si="83"/>
        <v>36-45 years</v>
      </c>
    </row>
    <row r="1318" spans="1:41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80"/>
        <v>1</v>
      </c>
      <c r="AM1318" t="str">
        <f t="shared" si="81"/>
        <v>6-10 Years</v>
      </c>
      <c r="AN1318" t="str">
        <f t="shared" si="82"/>
        <v>6-10 Years</v>
      </c>
      <c r="AO1318" t="str">
        <f t="shared" si="83"/>
        <v>36-45 years</v>
      </c>
    </row>
    <row r="1319" spans="1:41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80"/>
        <v>1</v>
      </c>
      <c r="AM1319" t="str">
        <f t="shared" si="81"/>
        <v>3-5 Years</v>
      </c>
      <c r="AN1319" t="str">
        <f t="shared" si="82"/>
        <v>0-2 Years</v>
      </c>
      <c r="AO1319" t="str">
        <f t="shared" si="83"/>
        <v>26-35 years</v>
      </c>
    </row>
    <row r="1320" spans="1:41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80"/>
        <v>1</v>
      </c>
      <c r="AM1320" t="str">
        <f t="shared" si="81"/>
        <v>11-15 Years</v>
      </c>
      <c r="AN1320" t="str">
        <f t="shared" si="82"/>
        <v>3-5 Years</v>
      </c>
      <c r="AO1320" t="str">
        <f t="shared" si="83"/>
        <v>26-35 years</v>
      </c>
    </row>
    <row r="1321" spans="1:41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80"/>
        <v>1</v>
      </c>
      <c r="AM1321" t="str">
        <f t="shared" si="81"/>
        <v>0-2 Years</v>
      </c>
      <c r="AN1321" t="str">
        <f t="shared" si="82"/>
        <v>0-2 Years</v>
      </c>
      <c r="AO1321" t="str">
        <f t="shared" si="83"/>
        <v>26-35 years</v>
      </c>
    </row>
    <row r="1322" spans="1:41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80"/>
        <v>1</v>
      </c>
      <c r="AM1322" t="str">
        <f t="shared" si="81"/>
        <v>6-10 Years</v>
      </c>
      <c r="AN1322" t="str">
        <f t="shared" si="82"/>
        <v>3-5 Years</v>
      </c>
      <c r="AO1322" t="str">
        <f t="shared" si="83"/>
        <v>36-45 years</v>
      </c>
    </row>
    <row r="1323" spans="1:41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80"/>
        <v>1</v>
      </c>
      <c r="AM1323" t="str">
        <f t="shared" si="81"/>
        <v>0-2 Years</v>
      </c>
      <c r="AN1323" t="str">
        <f t="shared" si="82"/>
        <v>0-2 Years</v>
      </c>
      <c r="AO1323" t="str">
        <f t="shared" si="83"/>
        <v>46-55 Years</v>
      </c>
    </row>
    <row r="1324" spans="1:41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80"/>
        <v>1</v>
      </c>
      <c r="AM1324" t="str">
        <f t="shared" si="81"/>
        <v>6-10 Years</v>
      </c>
      <c r="AN1324" t="str">
        <f t="shared" si="82"/>
        <v>3-5 Years</v>
      </c>
      <c r="AO1324" t="str">
        <f t="shared" si="83"/>
        <v>46-55 Years</v>
      </c>
    </row>
    <row r="1325" spans="1:41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80"/>
        <v>1</v>
      </c>
      <c r="AM1325" t="str">
        <f t="shared" si="81"/>
        <v>3-5 Years</v>
      </c>
      <c r="AN1325" t="str">
        <f t="shared" si="82"/>
        <v>0-2 Years</v>
      </c>
      <c r="AO1325" t="str">
        <f t="shared" si="83"/>
        <v>26-35 years</v>
      </c>
    </row>
    <row r="1326" spans="1:41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80"/>
        <v>1</v>
      </c>
      <c r="AM1326" t="str">
        <f t="shared" si="81"/>
        <v>6-10 Years</v>
      </c>
      <c r="AN1326" t="str">
        <f t="shared" si="82"/>
        <v>0-2 Years</v>
      </c>
      <c r="AO1326" t="str">
        <f t="shared" si="83"/>
        <v>26-35 years</v>
      </c>
    </row>
    <row r="1327" spans="1:41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80"/>
        <v>1</v>
      </c>
      <c r="AM1327" t="str">
        <f t="shared" si="81"/>
        <v>0-2 Years</v>
      </c>
      <c r="AN1327" t="str">
        <f t="shared" si="82"/>
        <v>0-2 Years</v>
      </c>
      <c r="AO1327" t="str">
        <f t="shared" si="83"/>
        <v>36-45 years</v>
      </c>
    </row>
    <row r="1328" spans="1:41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80"/>
        <v>1</v>
      </c>
      <c r="AM1328" t="str">
        <f t="shared" si="81"/>
        <v>0-2 Years</v>
      </c>
      <c r="AN1328" t="str">
        <f t="shared" si="82"/>
        <v>0-2 Years</v>
      </c>
      <c r="AO1328" t="str">
        <f t="shared" si="83"/>
        <v>26-35 years</v>
      </c>
    </row>
    <row r="1329" spans="1:41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80"/>
        <v>1</v>
      </c>
      <c r="AM1329" t="str">
        <f t="shared" si="81"/>
        <v>16-20 Years</v>
      </c>
      <c r="AN1329" t="str">
        <f t="shared" si="82"/>
        <v>0-2 Years</v>
      </c>
      <c r="AO1329" t="str">
        <f t="shared" si="83"/>
        <v>46-55 Years</v>
      </c>
    </row>
    <row r="1330" spans="1:41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80"/>
        <v>1</v>
      </c>
      <c r="AM1330" t="str">
        <f t="shared" si="81"/>
        <v>6-10 Years</v>
      </c>
      <c r="AN1330" t="str">
        <f t="shared" si="82"/>
        <v>3-5 Years</v>
      </c>
      <c r="AO1330" t="str">
        <f t="shared" si="83"/>
        <v>26-35 years</v>
      </c>
    </row>
    <row r="1331" spans="1:41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80"/>
        <v>1</v>
      </c>
      <c r="AM1331" t="str">
        <f t="shared" si="81"/>
        <v>0-2 Years</v>
      </c>
      <c r="AN1331" t="str">
        <f t="shared" si="82"/>
        <v>0-2 Years</v>
      </c>
      <c r="AO1331" t="str">
        <f t="shared" si="83"/>
        <v>26-35 years</v>
      </c>
    </row>
    <row r="1332" spans="1:41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80"/>
        <v>1</v>
      </c>
      <c r="AM1332" t="str">
        <f t="shared" si="81"/>
        <v>16-20 Years</v>
      </c>
      <c r="AN1332" t="str">
        <f t="shared" si="82"/>
        <v>6-10 Years</v>
      </c>
      <c r="AO1332" t="str">
        <f t="shared" si="83"/>
        <v>36-45 years</v>
      </c>
    </row>
    <row r="1333" spans="1:41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80"/>
        <v>1</v>
      </c>
      <c r="AM1333" t="str">
        <f t="shared" si="81"/>
        <v>21+ Years</v>
      </c>
      <c r="AN1333" t="str">
        <f t="shared" si="82"/>
        <v>11-15 Years</v>
      </c>
      <c r="AO1333" t="str">
        <f t="shared" si="83"/>
        <v>46-55 Years</v>
      </c>
    </row>
    <row r="1334" spans="1:41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80"/>
        <v>1</v>
      </c>
      <c r="AM1334" t="str">
        <f t="shared" si="81"/>
        <v>0-2 Years</v>
      </c>
      <c r="AN1334" t="str">
        <f t="shared" si="82"/>
        <v>0-2 Years</v>
      </c>
      <c r="AO1334" t="str">
        <f t="shared" si="83"/>
        <v>26-35 years</v>
      </c>
    </row>
    <row r="1335" spans="1:41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80"/>
        <v>1</v>
      </c>
      <c r="AM1335" t="str">
        <f t="shared" si="81"/>
        <v>6-10 Years</v>
      </c>
      <c r="AN1335" t="str">
        <f t="shared" si="82"/>
        <v>0-2 Years</v>
      </c>
      <c r="AO1335" t="str">
        <f t="shared" si="83"/>
        <v>46-55 Years</v>
      </c>
    </row>
    <row r="1336" spans="1:41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80"/>
        <v>1</v>
      </c>
      <c r="AM1336" t="str">
        <f t="shared" si="81"/>
        <v>6-10 Years</v>
      </c>
      <c r="AN1336" t="str">
        <f t="shared" si="82"/>
        <v>6-10 Years</v>
      </c>
      <c r="AO1336" t="str">
        <f t="shared" si="83"/>
        <v>26-35 years</v>
      </c>
    </row>
    <row r="1337" spans="1:41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80"/>
        <v>1</v>
      </c>
      <c r="AM1337" t="str">
        <f t="shared" si="81"/>
        <v>0-2 Years</v>
      </c>
      <c r="AN1337" t="str">
        <f t="shared" si="82"/>
        <v>0-2 Years</v>
      </c>
      <c r="AO1337" t="str">
        <f t="shared" si="83"/>
        <v>36-45 years</v>
      </c>
    </row>
    <row r="1338" spans="1:41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80"/>
        <v>1</v>
      </c>
      <c r="AM1338" t="str">
        <f t="shared" si="81"/>
        <v>3-5 Years</v>
      </c>
      <c r="AN1338" t="str">
        <f t="shared" si="82"/>
        <v>0-2 Years</v>
      </c>
      <c r="AO1338" t="str">
        <f t="shared" si="83"/>
        <v>46-55 Years</v>
      </c>
    </row>
    <row r="1339" spans="1:41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80"/>
        <v>1</v>
      </c>
      <c r="AM1339" t="str">
        <f t="shared" si="81"/>
        <v>0-2 Years</v>
      </c>
      <c r="AN1339" t="str">
        <f t="shared" si="82"/>
        <v>0-2 Years</v>
      </c>
      <c r="AO1339" t="str">
        <f t="shared" si="83"/>
        <v>26-35 years</v>
      </c>
    </row>
    <row r="1340" spans="1:41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80"/>
        <v>1</v>
      </c>
      <c r="AM1340" t="str">
        <f t="shared" si="81"/>
        <v>0-2 Years</v>
      </c>
      <c r="AN1340" t="str">
        <f t="shared" si="82"/>
        <v>0-2 Years</v>
      </c>
      <c r="AO1340" t="str">
        <f t="shared" si="83"/>
        <v>26-35 years</v>
      </c>
    </row>
    <row r="1341" spans="1:41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80"/>
        <v>1</v>
      </c>
      <c r="AM1341" t="str">
        <f t="shared" si="81"/>
        <v>0-2 Years</v>
      </c>
      <c r="AN1341" t="str">
        <f t="shared" si="82"/>
        <v>0-2 Years</v>
      </c>
      <c r="AO1341" t="str">
        <f t="shared" si="83"/>
        <v>18-25 years</v>
      </c>
    </row>
    <row r="1342" spans="1:41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80"/>
        <v>1</v>
      </c>
      <c r="AM1342" t="str">
        <f t="shared" si="81"/>
        <v>6-10 Years</v>
      </c>
      <c r="AN1342" t="str">
        <f t="shared" si="82"/>
        <v>0-2 Years</v>
      </c>
      <c r="AO1342" t="str">
        <f t="shared" si="83"/>
        <v>36-45 years</v>
      </c>
    </row>
    <row r="1343" spans="1:41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80"/>
        <v>1</v>
      </c>
      <c r="AM1343" t="str">
        <f t="shared" si="81"/>
        <v>6-10 Years</v>
      </c>
      <c r="AN1343" t="str">
        <f t="shared" si="82"/>
        <v>0-2 Years</v>
      </c>
      <c r="AO1343" t="str">
        <f t="shared" si="83"/>
        <v>26-35 years</v>
      </c>
    </row>
    <row r="1344" spans="1:41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80"/>
        <v>1</v>
      </c>
      <c r="AM1344" t="str">
        <f t="shared" si="81"/>
        <v>3-5 Years</v>
      </c>
      <c r="AN1344" t="str">
        <f t="shared" si="82"/>
        <v>0-2 Years</v>
      </c>
      <c r="AO1344" t="str">
        <f t="shared" si="83"/>
        <v>26-35 years</v>
      </c>
    </row>
    <row r="1345" spans="1:41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80"/>
        <v>1</v>
      </c>
      <c r="AM1345" t="str">
        <f t="shared" si="81"/>
        <v>3-5 Years</v>
      </c>
      <c r="AN1345" t="str">
        <f t="shared" si="82"/>
        <v>0-2 Years</v>
      </c>
      <c r="AO1345" t="str">
        <f t="shared" si="83"/>
        <v>26-35 years</v>
      </c>
    </row>
    <row r="1346" spans="1:41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si="80"/>
        <v>1</v>
      </c>
      <c r="AM1346" t="str">
        <f t="shared" si="81"/>
        <v>3-5 Years</v>
      </c>
      <c r="AN1346" t="str">
        <f t="shared" si="82"/>
        <v>0-2 Years</v>
      </c>
      <c r="AO1346" t="str">
        <f t="shared" si="83"/>
        <v>36-45 years</v>
      </c>
    </row>
    <row r="1347" spans="1:41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ref="AJ1347:AJ1410" si="84">COUNTIFS($A$2:$A$1471,A1347,$B$2:$B$1471,B1347,$C$2:$C$1471,C1347,$D$2:$D$1471,D1347,$E$2:$E$1471,E1347,$F$2:$F$1471,F1347,$G$2:$G$1471,G1347,$H$2:$H$1471,H1347,$I$2:$I$1471,I1347,$J$2:$J$1471,J1347,$K$2:$K$1471,K1347,$L$2:$L$1471,L1347,$M$2:$M$1471,M1347,$N$2:$N$1471,N1347,$O$2:$O$1471,O1347,$P$2:$P$1471,P1347,$Q$2:$Q$1471,Q1347,$R$2:$R$1471,R1347,$S$2:$S$1471,S1347,$T$2:$T$1471,T1347,$U$2:$U$1471,U1347,$V$2:$V$1471,V1347,$W$2:$W$1471,W1347,$X$2:$X$1471,X1347,$Y$2:$Y$1471,Y1347,$Z$2:$Z$1471,Z1347,$AA$2:$AA$1471,AA1347,$AB$2:$AB$1471,AB1347,$AC$2:$AC$1471,AC1347,$AD$2:$AD$1471,AD1347,$AE$2:$AE$1471,AE1347,$AF$2:$AF$1471,AF1347,$AG$2:$AG$1471,AG1347,$AH$2:$AH$1471,AH1347,$AI$2:$AI$1471,AI1347)</f>
        <v>1</v>
      </c>
      <c r="AM1347" t="str">
        <f t="shared" ref="AM1347:AM1410" si="85">IF(AF1347&lt;=2,"0-2 Years",IF(AF1347&lt;=5,"3-5 Years",IF(AF1347&lt;=10,"6-10 Years",IF(AF1347&lt;=15,"11-15 Years",IF(AF1347&lt;=20,"16-20 Years","21+ Years")))))</f>
        <v>3-5 Years</v>
      </c>
      <c r="AN1347" t="str">
        <f t="shared" ref="AN1347:AN1410" si="86">IF(AH1347&lt;=2,"0-2 Years",IF(AH1347&lt;=5,"3-5 Years",IF(AH1347&lt;=10,"6-10 Years","11-15 Years")))</f>
        <v>0-2 Years</v>
      </c>
      <c r="AO1347" t="str">
        <f t="shared" ref="AO1347:AO1410" si="87">IF(A1347&lt;=25,"18-25 years",IF(A1347&lt;=35,"26-35 years",IF(A1347&lt;=45,"36-45 years",IF(A1347&lt;=55,"46-55 Years","56+ years"))))</f>
        <v>26-35 years</v>
      </c>
    </row>
    <row r="1348" spans="1:41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84"/>
        <v>1</v>
      </c>
      <c r="AM1348" t="str">
        <f t="shared" si="85"/>
        <v>6-10 Years</v>
      </c>
      <c r="AN1348" t="str">
        <f t="shared" si="86"/>
        <v>3-5 Years</v>
      </c>
      <c r="AO1348" t="str">
        <f t="shared" si="87"/>
        <v>36-45 years</v>
      </c>
    </row>
    <row r="1349" spans="1:41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84"/>
        <v>1</v>
      </c>
      <c r="AM1349" t="str">
        <f t="shared" si="85"/>
        <v>6-10 Years</v>
      </c>
      <c r="AN1349" t="str">
        <f t="shared" si="86"/>
        <v>0-2 Years</v>
      </c>
      <c r="AO1349" t="str">
        <f t="shared" si="87"/>
        <v>36-45 years</v>
      </c>
    </row>
    <row r="1350" spans="1:41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84"/>
        <v>1</v>
      </c>
      <c r="AM1350" t="str">
        <f t="shared" si="85"/>
        <v>16-20 Years</v>
      </c>
      <c r="AN1350" t="str">
        <f t="shared" si="86"/>
        <v>11-15 Years</v>
      </c>
      <c r="AO1350" t="str">
        <f t="shared" si="87"/>
        <v>36-45 years</v>
      </c>
    </row>
    <row r="1351" spans="1:41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84"/>
        <v>1</v>
      </c>
      <c r="AM1351" t="str">
        <f t="shared" si="85"/>
        <v>0-2 Years</v>
      </c>
      <c r="AN1351" t="str">
        <f t="shared" si="86"/>
        <v>0-2 Years</v>
      </c>
      <c r="AO1351" t="str">
        <f t="shared" si="87"/>
        <v>26-35 years</v>
      </c>
    </row>
    <row r="1352" spans="1:41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84"/>
        <v>1</v>
      </c>
      <c r="AM1352" t="str">
        <f t="shared" si="85"/>
        <v>6-10 Years</v>
      </c>
      <c r="AN1352" t="str">
        <f t="shared" si="86"/>
        <v>0-2 Years</v>
      </c>
      <c r="AO1352" t="str">
        <f t="shared" si="87"/>
        <v>26-35 years</v>
      </c>
    </row>
    <row r="1353" spans="1:41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84"/>
        <v>1</v>
      </c>
      <c r="AM1353" t="str">
        <f t="shared" si="85"/>
        <v>21+ Years</v>
      </c>
      <c r="AN1353" t="str">
        <f t="shared" si="86"/>
        <v>3-5 Years</v>
      </c>
      <c r="AO1353" t="str">
        <f t="shared" si="87"/>
        <v>46-55 Years</v>
      </c>
    </row>
    <row r="1354" spans="1:41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84"/>
        <v>1</v>
      </c>
      <c r="AM1354" t="str">
        <f t="shared" si="85"/>
        <v>0-2 Years</v>
      </c>
      <c r="AN1354" t="str">
        <f t="shared" si="86"/>
        <v>0-2 Years</v>
      </c>
      <c r="AO1354" t="str">
        <f t="shared" si="87"/>
        <v>36-45 years</v>
      </c>
    </row>
    <row r="1355" spans="1:41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84"/>
        <v>1</v>
      </c>
      <c r="AM1355" t="str">
        <f t="shared" si="85"/>
        <v>3-5 Years</v>
      </c>
      <c r="AN1355" t="str">
        <f t="shared" si="86"/>
        <v>3-5 Years</v>
      </c>
      <c r="AO1355" t="str">
        <f t="shared" si="87"/>
        <v>26-35 years</v>
      </c>
    </row>
    <row r="1356" spans="1:41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84"/>
        <v>1</v>
      </c>
      <c r="AM1356" t="str">
        <f t="shared" si="85"/>
        <v>3-5 Years</v>
      </c>
      <c r="AN1356" t="str">
        <f t="shared" si="86"/>
        <v>0-2 Years</v>
      </c>
      <c r="AO1356" t="str">
        <f t="shared" si="87"/>
        <v>56+ years</v>
      </c>
    </row>
    <row r="1357" spans="1:41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84"/>
        <v>1</v>
      </c>
      <c r="AM1357" t="str">
        <f t="shared" si="85"/>
        <v>3-5 Years</v>
      </c>
      <c r="AN1357" t="str">
        <f t="shared" si="86"/>
        <v>0-2 Years</v>
      </c>
      <c r="AO1357" t="str">
        <f t="shared" si="87"/>
        <v>36-45 years</v>
      </c>
    </row>
    <row r="1358" spans="1:41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84"/>
        <v>1</v>
      </c>
      <c r="AM1358" t="str">
        <f t="shared" si="85"/>
        <v>3-5 Years</v>
      </c>
      <c r="AN1358" t="str">
        <f t="shared" si="86"/>
        <v>0-2 Years</v>
      </c>
      <c r="AO1358" t="str">
        <f t="shared" si="87"/>
        <v>36-45 years</v>
      </c>
    </row>
    <row r="1359" spans="1:41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84"/>
        <v>1</v>
      </c>
      <c r="AM1359" t="str">
        <f t="shared" si="85"/>
        <v>11-15 Years</v>
      </c>
      <c r="AN1359" t="str">
        <f t="shared" si="86"/>
        <v>3-5 Years</v>
      </c>
      <c r="AO1359" t="str">
        <f t="shared" si="87"/>
        <v>36-45 years</v>
      </c>
    </row>
    <row r="1360" spans="1:41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84"/>
        <v>1</v>
      </c>
      <c r="AM1360" t="str">
        <f t="shared" si="85"/>
        <v>3-5 Years</v>
      </c>
      <c r="AN1360" t="str">
        <f t="shared" si="86"/>
        <v>0-2 Years</v>
      </c>
      <c r="AO1360" t="str">
        <f t="shared" si="87"/>
        <v>26-35 years</v>
      </c>
    </row>
    <row r="1361" spans="1:41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84"/>
        <v>1</v>
      </c>
      <c r="AM1361" t="str">
        <f t="shared" si="85"/>
        <v>3-5 Years</v>
      </c>
      <c r="AN1361" t="str">
        <f t="shared" si="86"/>
        <v>0-2 Years</v>
      </c>
      <c r="AO1361" t="str">
        <f t="shared" si="87"/>
        <v>26-35 years</v>
      </c>
    </row>
    <row r="1362" spans="1:41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84"/>
        <v>1</v>
      </c>
      <c r="AM1362" t="str">
        <f t="shared" si="85"/>
        <v>0-2 Years</v>
      </c>
      <c r="AN1362" t="str">
        <f t="shared" si="86"/>
        <v>0-2 Years</v>
      </c>
      <c r="AO1362" t="str">
        <f t="shared" si="87"/>
        <v>26-35 years</v>
      </c>
    </row>
    <row r="1363" spans="1:41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84"/>
        <v>1</v>
      </c>
      <c r="AM1363" t="str">
        <f t="shared" si="85"/>
        <v>6-10 Years</v>
      </c>
      <c r="AN1363" t="str">
        <f t="shared" si="86"/>
        <v>6-10 Years</v>
      </c>
      <c r="AO1363" t="str">
        <f t="shared" si="87"/>
        <v>26-35 years</v>
      </c>
    </row>
    <row r="1364" spans="1:41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84"/>
        <v>1</v>
      </c>
      <c r="AM1364" t="str">
        <f t="shared" si="85"/>
        <v>3-5 Years</v>
      </c>
      <c r="AN1364" t="str">
        <f t="shared" si="86"/>
        <v>0-2 Years</v>
      </c>
      <c r="AO1364" t="str">
        <f t="shared" si="87"/>
        <v>36-45 years</v>
      </c>
    </row>
    <row r="1365" spans="1:41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84"/>
        <v>1</v>
      </c>
      <c r="AM1365" t="str">
        <f t="shared" si="85"/>
        <v>6-10 Years</v>
      </c>
      <c r="AN1365" t="str">
        <f t="shared" si="86"/>
        <v>0-2 Years</v>
      </c>
      <c r="AO1365" t="str">
        <f t="shared" si="87"/>
        <v>26-35 years</v>
      </c>
    </row>
    <row r="1366" spans="1:41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84"/>
        <v>1</v>
      </c>
      <c r="AM1366" t="str">
        <f t="shared" si="85"/>
        <v>6-10 Years</v>
      </c>
      <c r="AN1366" t="str">
        <f t="shared" si="86"/>
        <v>0-2 Years</v>
      </c>
      <c r="AO1366" t="str">
        <f t="shared" si="87"/>
        <v>26-35 years</v>
      </c>
    </row>
    <row r="1367" spans="1:41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84"/>
        <v>1</v>
      </c>
      <c r="AM1367" t="str">
        <f t="shared" si="85"/>
        <v>0-2 Years</v>
      </c>
      <c r="AN1367" t="str">
        <f t="shared" si="86"/>
        <v>0-2 Years</v>
      </c>
      <c r="AO1367" t="str">
        <f t="shared" si="87"/>
        <v>26-35 years</v>
      </c>
    </row>
    <row r="1368" spans="1:41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84"/>
        <v>1</v>
      </c>
      <c r="AM1368" t="str">
        <f t="shared" si="85"/>
        <v>3-5 Years</v>
      </c>
      <c r="AN1368" t="str">
        <f t="shared" si="86"/>
        <v>0-2 Years</v>
      </c>
      <c r="AO1368" t="str">
        <f t="shared" si="87"/>
        <v>36-45 years</v>
      </c>
    </row>
    <row r="1369" spans="1:41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84"/>
        <v>1</v>
      </c>
      <c r="AM1369" t="str">
        <f t="shared" si="85"/>
        <v>3-5 Years</v>
      </c>
      <c r="AN1369" t="str">
        <f t="shared" si="86"/>
        <v>0-2 Years</v>
      </c>
      <c r="AO1369" t="str">
        <f t="shared" si="87"/>
        <v>26-35 years</v>
      </c>
    </row>
    <row r="1370" spans="1:41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84"/>
        <v>1</v>
      </c>
      <c r="AM1370" t="str">
        <f t="shared" si="85"/>
        <v>11-15 Years</v>
      </c>
      <c r="AN1370" t="str">
        <f t="shared" si="86"/>
        <v>6-10 Years</v>
      </c>
      <c r="AO1370" t="str">
        <f t="shared" si="87"/>
        <v>26-35 years</v>
      </c>
    </row>
    <row r="1371" spans="1:41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84"/>
        <v>1</v>
      </c>
      <c r="AM1371" t="str">
        <f t="shared" si="85"/>
        <v>0-2 Years</v>
      </c>
      <c r="AN1371" t="str">
        <f t="shared" si="86"/>
        <v>0-2 Years</v>
      </c>
      <c r="AO1371" t="str">
        <f t="shared" si="87"/>
        <v>26-35 years</v>
      </c>
    </row>
    <row r="1372" spans="1:41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84"/>
        <v>1</v>
      </c>
      <c r="AM1372" t="str">
        <f t="shared" si="85"/>
        <v>6-10 Years</v>
      </c>
      <c r="AN1372" t="str">
        <f t="shared" si="86"/>
        <v>0-2 Years</v>
      </c>
      <c r="AO1372" t="str">
        <f t="shared" si="87"/>
        <v>46-55 Years</v>
      </c>
    </row>
    <row r="1373" spans="1:41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84"/>
        <v>1</v>
      </c>
      <c r="AM1373" t="str">
        <f t="shared" si="85"/>
        <v>0-2 Years</v>
      </c>
      <c r="AN1373" t="str">
        <f t="shared" si="86"/>
        <v>0-2 Years</v>
      </c>
      <c r="AO1373" t="str">
        <f t="shared" si="87"/>
        <v>56+ years</v>
      </c>
    </row>
    <row r="1374" spans="1:41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84"/>
        <v>1</v>
      </c>
      <c r="AM1374" t="str">
        <f t="shared" si="85"/>
        <v>6-10 Years</v>
      </c>
      <c r="AN1374" t="str">
        <f t="shared" si="86"/>
        <v>6-10 Years</v>
      </c>
      <c r="AO1374" t="str">
        <f t="shared" si="87"/>
        <v>36-45 years</v>
      </c>
    </row>
    <row r="1375" spans="1:41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84"/>
        <v>1</v>
      </c>
      <c r="AM1375" t="str">
        <f t="shared" si="85"/>
        <v>16-20 Years</v>
      </c>
      <c r="AN1375" t="str">
        <f t="shared" si="86"/>
        <v>0-2 Years</v>
      </c>
      <c r="AO1375" t="str">
        <f t="shared" si="87"/>
        <v>36-45 years</v>
      </c>
    </row>
    <row r="1376" spans="1:41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84"/>
        <v>1</v>
      </c>
      <c r="AM1376" t="str">
        <f t="shared" si="85"/>
        <v>0-2 Years</v>
      </c>
      <c r="AN1376" t="str">
        <f t="shared" si="86"/>
        <v>0-2 Years</v>
      </c>
      <c r="AO1376" t="str">
        <f t="shared" si="87"/>
        <v>56+ years</v>
      </c>
    </row>
    <row r="1377" spans="1:41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84"/>
        <v>1</v>
      </c>
      <c r="AM1377" t="str">
        <f t="shared" si="85"/>
        <v>3-5 Years</v>
      </c>
      <c r="AN1377" t="str">
        <f t="shared" si="86"/>
        <v>0-2 Years</v>
      </c>
      <c r="AO1377" t="str">
        <f t="shared" si="87"/>
        <v>26-35 years</v>
      </c>
    </row>
    <row r="1378" spans="1:41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84"/>
        <v>1</v>
      </c>
      <c r="AM1378" t="str">
        <f t="shared" si="85"/>
        <v>3-5 Years</v>
      </c>
      <c r="AN1378" t="str">
        <f t="shared" si="86"/>
        <v>0-2 Years</v>
      </c>
      <c r="AO1378" t="str">
        <f t="shared" si="87"/>
        <v>36-45 years</v>
      </c>
    </row>
    <row r="1379" spans="1:41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84"/>
        <v>1</v>
      </c>
      <c r="AM1379" t="str">
        <f t="shared" si="85"/>
        <v>3-5 Years</v>
      </c>
      <c r="AN1379" t="str">
        <f t="shared" si="86"/>
        <v>3-5 Years</v>
      </c>
      <c r="AO1379" t="str">
        <f t="shared" si="87"/>
        <v>46-55 Years</v>
      </c>
    </row>
    <row r="1380" spans="1:41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84"/>
        <v>1</v>
      </c>
      <c r="AM1380" t="str">
        <f t="shared" si="85"/>
        <v>0-2 Years</v>
      </c>
      <c r="AN1380" t="str">
        <f t="shared" si="86"/>
        <v>0-2 Years</v>
      </c>
      <c r="AO1380" t="str">
        <f t="shared" si="87"/>
        <v>36-45 years</v>
      </c>
    </row>
    <row r="1381" spans="1:41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84"/>
        <v>1</v>
      </c>
      <c r="AM1381" t="str">
        <f t="shared" si="85"/>
        <v>0-2 Years</v>
      </c>
      <c r="AN1381" t="str">
        <f t="shared" si="86"/>
        <v>0-2 Years</v>
      </c>
      <c r="AO1381" t="str">
        <f t="shared" si="87"/>
        <v>26-35 years</v>
      </c>
    </row>
    <row r="1382" spans="1:41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84"/>
        <v>1</v>
      </c>
      <c r="AM1382" t="str">
        <f t="shared" si="85"/>
        <v>3-5 Years</v>
      </c>
      <c r="AN1382" t="str">
        <f t="shared" si="86"/>
        <v>0-2 Years</v>
      </c>
      <c r="AO1382" t="str">
        <f t="shared" si="87"/>
        <v>26-35 years</v>
      </c>
    </row>
    <row r="1383" spans="1:41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84"/>
        <v>1</v>
      </c>
      <c r="AM1383" t="str">
        <f t="shared" si="85"/>
        <v>3-5 Years</v>
      </c>
      <c r="AN1383" t="str">
        <f t="shared" si="86"/>
        <v>0-2 Years</v>
      </c>
      <c r="AO1383" t="str">
        <f t="shared" si="87"/>
        <v>26-35 years</v>
      </c>
    </row>
    <row r="1384" spans="1:41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84"/>
        <v>1</v>
      </c>
      <c r="AM1384" t="str">
        <f t="shared" si="85"/>
        <v>3-5 Years</v>
      </c>
      <c r="AN1384" t="str">
        <f t="shared" si="86"/>
        <v>0-2 Years</v>
      </c>
      <c r="AO1384" t="str">
        <f t="shared" si="87"/>
        <v>26-35 years</v>
      </c>
    </row>
    <row r="1385" spans="1:41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84"/>
        <v>1</v>
      </c>
      <c r="AM1385" t="str">
        <f t="shared" si="85"/>
        <v>3-5 Years</v>
      </c>
      <c r="AN1385" t="str">
        <f t="shared" si="86"/>
        <v>0-2 Years</v>
      </c>
      <c r="AO1385" t="str">
        <f t="shared" si="87"/>
        <v>36-45 years</v>
      </c>
    </row>
    <row r="1386" spans="1:41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84"/>
        <v>1</v>
      </c>
      <c r="AM1386" t="str">
        <f t="shared" si="85"/>
        <v>11-15 Years</v>
      </c>
      <c r="AN1386" t="str">
        <f t="shared" si="86"/>
        <v>0-2 Years</v>
      </c>
      <c r="AO1386" t="str">
        <f t="shared" si="87"/>
        <v>26-35 years</v>
      </c>
    </row>
    <row r="1387" spans="1:41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84"/>
        <v>1</v>
      </c>
      <c r="AM1387" t="str">
        <f t="shared" si="85"/>
        <v>6-10 Years</v>
      </c>
      <c r="AN1387" t="str">
        <f t="shared" si="86"/>
        <v>0-2 Years</v>
      </c>
      <c r="AO1387" t="str">
        <f t="shared" si="87"/>
        <v>26-35 years</v>
      </c>
    </row>
    <row r="1388" spans="1:41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84"/>
        <v>1</v>
      </c>
      <c r="AM1388" t="str">
        <f t="shared" si="85"/>
        <v>6-10 Years</v>
      </c>
      <c r="AN1388" t="str">
        <f t="shared" si="86"/>
        <v>6-10 Years</v>
      </c>
      <c r="AO1388" t="str">
        <f t="shared" si="87"/>
        <v>26-35 years</v>
      </c>
    </row>
    <row r="1389" spans="1:41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84"/>
        <v>1</v>
      </c>
      <c r="AM1389" t="str">
        <f t="shared" si="85"/>
        <v>3-5 Years</v>
      </c>
      <c r="AN1389" t="str">
        <f t="shared" si="86"/>
        <v>0-2 Years</v>
      </c>
      <c r="AO1389" t="str">
        <f t="shared" si="87"/>
        <v>26-35 years</v>
      </c>
    </row>
    <row r="1390" spans="1:41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84"/>
        <v>1</v>
      </c>
      <c r="AM1390" t="str">
        <f t="shared" si="85"/>
        <v>3-5 Years</v>
      </c>
      <c r="AN1390" t="str">
        <f t="shared" si="86"/>
        <v>0-2 Years</v>
      </c>
      <c r="AO1390" t="str">
        <f t="shared" si="87"/>
        <v>26-35 years</v>
      </c>
    </row>
    <row r="1391" spans="1:41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84"/>
        <v>1</v>
      </c>
      <c r="AM1391" t="str">
        <f t="shared" si="85"/>
        <v>6-10 Years</v>
      </c>
      <c r="AN1391" t="str">
        <f t="shared" si="86"/>
        <v>6-10 Years</v>
      </c>
      <c r="AO1391" t="str">
        <f t="shared" si="87"/>
        <v>26-35 years</v>
      </c>
    </row>
    <row r="1392" spans="1:41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84"/>
        <v>1</v>
      </c>
      <c r="AM1392" t="str">
        <f t="shared" si="85"/>
        <v>3-5 Years</v>
      </c>
      <c r="AN1392" t="str">
        <f t="shared" si="86"/>
        <v>0-2 Years</v>
      </c>
      <c r="AO1392" t="str">
        <f t="shared" si="87"/>
        <v>26-35 years</v>
      </c>
    </row>
    <row r="1393" spans="1:41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84"/>
        <v>1</v>
      </c>
      <c r="AM1393" t="str">
        <f t="shared" si="85"/>
        <v>0-2 Years</v>
      </c>
      <c r="AN1393" t="str">
        <f t="shared" si="86"/>
        <v>0-2 Years</v>
      </c>
      <c r="AO1393" t="str">
        <f t="shared" si="87"/>
        <v>36-45 years</v>
      </c>
    </row>
    <row r="1394" spans="1:41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84"/>
        <v>1</v>
      </c>
      <c r="AM1394" t="str">
        <f t="shared" si="85"/>
        <v>6-10 Years</v>
      </c>
      <c r="AN1394" t="str">
        <f t="shared" si="86"/>
        <v>0-2 Years</v>
      </c>
      <c r="AO1394" t="str">
        <f t="shared" si="87"/>
        <v>26-35 years</v>
      </c>
    </row>
    <row r="1395" spans="1:41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84"/>
        <v>1</v>
      </c>
      <c r="AM1395" t="str">
        <f t="shared" si="85"/>
        <v>6-10 Years</v>
      </c>
      <c r="AN1395" t="str">
        <f t="shared" si="86"/>
        <v>0-2 Years</v>
      </c>
      <c r="AO1395" t="str">
        <f t="shared" si="87"/>
        <v>26-35 years</v>
      </c>
    </row>
    <row r="1396" spans="1:41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84"/>
        <v>1</v>
      </c>
      <c r="AM1396" t="str">
        <f t="shared" si="85"/>
        <v>0-2 Years</v>
      </c>
      <c r="AN1396" t="str">
        <f t="shared" si="86"/>
        <v>0-2 Years</v>
      </c>
      <c r="AO1396" t="str">
        <f t="shared" si="87"/>
        <v>26-35 years</v>
      </c>
    </row>
    <row r="1397" spans="1:41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84"/>
        <v>1</v>
      </c>
      <c r="AM1397" t="str">
        <f t="shared" si="85"/>
        <v>6-10 Years</v>
      </c>
      <c r="AN1397" t="str">
        <f t="shared" si="86"/>
        <v>0-2 Years</v>
      </c>
      <c r="AO1397" t="str">
        <f t="shared" si="87"/>
        <v>26-35 years</v>
      </c>
    </row>
    <row r="1398" spans="1:41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84"/>
        <v>1</v>
      </c>
      <c r="AM1398" t="str">
        <f t="shared" si="85"/>
        <v>0-2 Years</v>
      </c>
      <c r="AN1398" t="str">
        <f t="shared" si="86"/>
        <v>0-2 Years</v>
      </c>
      <c r="AO1398" t="str">
        <f t="shared" si="87"/>
        <v>46-55 Years</v>
      </c>
    </row>
    <row r="1399" spans="1:41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84"/>
        <v>1</v>
      </c>
      <c r="AM1399" t="str">
        <f t="shared" si="85"/>
        <v>3-5 Years</v>
      </c>
      <c r="AN1399" t="str">
        <f t="shared" si="86"/>
        <v>0-2 Years</v>
      </c>
      <c r="AO1399" t="str">
        <f t="shared" si="87"/>
        <v>46-55 Years</v>
      </c>
    </row>
    <row r="1400" spans="1:41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84"/>
        <v>1</v>
      </c>
      <c r="AM1400" t="str">
        <f t="shared" si="85"/>
        <v>6-10 Years</v>
      </c>
      <c r="AN1400" t="str">
        <f t="shared" si="86"/>
        <v>0-2 Years</v>
      </c>
      <c r="AO1400" t="str">
        <f t="shared" si="87"/>
        <v>26-35 years</v>
      </c>
    </row>
    <row r="1401" spans="1:41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84"/>
        <v>1</v>
      </c>
      <c r="AM1401" t="str">
        <f t="shared" si="85"/>
        <v>6-10 Years</v>
      </c>
      <c r="AN1401" t="str">
        <f t="shared" si="86"/>
        <v>0-2 Years</v>
      </c>
      <c r="AO1401" t="str">
        <f t="shared" si="87"/>
        <v>36-45 years</v>
      </c>
    </row>
    <row r="1402" spans="1:41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84"/>
        <v>1</v>
      </c>
      <c r="AM1402" t="str">
        <f t="shared" si="85"/>
        <v>6-10 Years</v>
      </c>
      <c r="AN1402" t="str">
        <f t="shared" si="86"/>
        <v>0-2 Years</v>
      </c>
      <c r="AO1402" t="str">
        <f t="shared" si="87"/>
        <v>36-45 years</v>
      </c>
    </row>
    <row r="1403" spans="1:41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84"/>
        <v>1</v>
      </c>
      <c r="AM1403" t="str">
        <f t="shared" si="85"/>
        <v>6-10 Years</v>
      </c>
      <c r="AN1403" t="str">
        <f t="shared" si="86"/>
        <v>0-2 Years</v>
      </c>
      <c r="AO1403" t="str">
        <f t="shared" si="87"/>
        <v>46-55 Years</v>
      </c>
    </row>
    <row r="1404" spans="1:41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84"/>
        <v>1</v>
      </c>
      <c r="AM1404" t="str">
        <f t="shared" si="85"/>
        <v>0-2 Years</v>
      </c>
      <c r="AN1404" t="str">
        <f t="shared" si="86"/>
        <v>0-2 Years</v>
      </c>
      <c r="AO1404" t="str">
        <f t="shared" si="87"/>
        <v>26-35 years</v>
      </c>
    </row>
    <row r="1405" spans="1:41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84"/>
        <v>1</v>
      </c>
      <c r="AM1405" t="str">
        <f t="shared" si="85"/>
        <v>16-20 Years</v>
      </c>
      <c r="AN1405" t="str">
        <f t="shared" si="86"/>
        <v>11-15 Years</v>
      </c>
      <c r="AO1405" t="str">
        <f t="shared" si="87"/>
        <v>36-45 years</v>
      </c>
    </row>
    <row r="1406" spans="1:41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84"/>
        <v>1</v>
      </c>
      <c r="AM1406" t="str">
        <f t="shared" si="85"/>
        <v>16-20 Years</v>
      </c>
      <c r="AN1406" t="str">
        <f t="shared" si="86"/>
        <v>3-5 Years</v>
      </c>
      <c r="AO1406" t="str">
        <f t="shared" si="87"/>
        <v>36-45 years</v>
      </c>
    </row>
    <row r="1407" spans="1:41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84"/>
        <v>1</v>
      </c>
      <c r="AM1407" t="str">
        <f t="shared" si="85"/>
        <v>11-15 Years</v>
      </c>
      <c r="AN1407" t="str">
        <f t="shared" si="86"/>
        <v>3-5 Years</v>
      </c>
      <c r="AO1407" t="str">
        <f t="shared" si="87"/>
        <v>26-35 years</v>
      </c>
    </row>
    <row r="1408" spans="1:41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84"/>
        <v>1</v>
      </c>
      <c r="AM1408" t="str">
        <f t="shared" si="85"/>
        <v>3-5 Years</v>
      </c>
      <c r="AN1408" t="str">
        <f t="shared" si="86"/>
        <v>0-2 Years</v>
      </c>
      <c r="AO1408" t="str">
        <f t="shared" si="87"/>
        <v>46-55 Years</v>
      </c>
    </row>
    <row r="1409" spans="1:41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84"/>
        <v>1</v>
      </c>
      <c r="AM1409" t="str">
        <f t="shared" si="85"/>
        <v>3-5 Years</v>
      </c>
      <c r="AN1409" t="str">
        <f t="shared" si="86"/>
        <v>0-2 Years</v>
      </c>
      <c r="AO1409" t="str">
        <f t="shared" si="87"/>
        <v>18-25 years</v>
      </c>
    </row>
    <row r="1410" spans="1:41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si="84"/>
        <v>1</v>
      </c>
      <c r="AM1410" t="str">
        <f t="shared" si="85"/>
        <v>3-5 Years</v>
      </c>
      <c r="AN1410" t="str">
        <f t="shared" si="86"/>
        <v>0-2 Years</v>
      </c>
      <c r="AO1410" t="str">
        <f t="shared" si="87"/>
        <v>18-25 years</v>
      </c>
    </row>
    <row r="1411" spans="1:41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ref="AJ1411:AJ1471" si="88">COUNTIFS($A$2:$A$1471,A1411,$B$2:$B$1471,B1411,$C$2:$C$1471,C1411,$D$2:$D$1471,D1411,$E$2:$E$1471,E1411,$F$2:$F$1471,F1411,$G$2:$G$1471,G1411,$H$2:$H$1471,H1411,$I$2:$I$1471,I1411,$J$2:$J$1471,J1411,$K$2:$K$1471,K1411,$L$2:$L$1471,L1411,$M$2:$M$1471,M1411,$N$2:$N$1471,N1411,$O$2:$O$1471,O1411,$P$2:$P$1471,P1411,$Q$2:$Q$1471,Q1411,$R$2:$R$1471,R1411,$S$2:$S$1471,S1411,$T$2:$T$1471,T1411,$U$2:$U$1471,U1411,$V$2:$V$1471,V1411,$W$2:$W$1471,W1411,$X$2:$X$1471,X1411,$Y$2:$Y$1471,Y1411,$Z$2:$Z$1471,Z1411,$AA$2:$AA$1471,AA1411,$AB$2:$AB$1471,AB1411,$AC$2:$AC$1471,AC1411,$AD$2:$AD$1471,AD1411,$AE$2:$AE$1471,AE1411,$AF$2:$AF$1471,AF1411,$AG$2:$AG$1471,AG1411,$AH$2:$AH$1471,AH1411,$AI$2:$AI$1471,AI1411)</f>
        <v>1</v>
      </c>
      <c r="AM1411" t="str">
        <f t="shared" ref="AM1411:AM1471" si="89">IF(AF1411&lt;=2,"0-2 Years",IF(AF1411&lt;=5,"3-5 Years",IF(AF1411&lt;=10,"6-10 Years",IF(AF1411&lt;=15,"11-15 Years",IF(AF1411&lt;=20,"16-20 Years","21+ Years")))))</f>
        <v>6-10 Years</v>
      </c>
      <c r="AN1411" t="str">
        <f t="shared" ref="AN1411:AN1471" si="90">IF(AH1411&lt;=2,"0-2 Years",IF(AH1411&lt;=5,"3-5 Years",IF(AH1411&lt;=10,"6-10 Years","11-15 Years")))</f>
        <v>6-10 Years</v>
      </c>
      <c r="AO1411" t="str">
        <f t="shared" ref="AO1411:AO1471" si="91">IF(A1411&lt;=25,"18-25 years",IF(A1411&lt;=35,"26-35 years",IF(A1411&lt;=45,"36-45 years",IF(A1411&lt;=55,"46-55 Years","56+ years"))))</f>
        <v>36-45 years</v>
      </c>
    </row>
    <row r="1412" spans="1:41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88"/>
        <v>1</v>
      </c>
      <c r="AM1412" t="str">
        <f t="shared" si="89"/>
        <v>11-15 Years</v>
      </c>
      <c r="AN1412" t="str">
        <f t="shared" si="90"/>
        <v>3-5 Years</v>
      </c>
      <c r="AO1412" t="str">
        <f t="shared" si="91"/>
        <v>36-45 years</v>
      </c>
    </row>
    <row r="1413" spans="1:41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88"/>
        <v>1</v>
      </c>
      <c r="AM1413" t="str">
        <f t="shared" si="89"/>
        <v>0-2 Years</v>
      </c>
      <c r="AN1413" t="str">
        <f t="shared" si="90"/>
        <v>0-2 Years</v>
      </c>
      <c r="AO1413" t="str">
        <f t="shared" si="91"/>
        <v>18-25 years</v>
      </c>
    </row>
    <row r="1414" spans="1:41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88"/>
        <v>1</v>
      </c>
      <c r="AM1414" t="str">
        <f t="shared" si="89"/>
        <v>11-15 Years</v>
      </c>
      <c r="AN1414" t="str">
        <f t="shared" si="90"/>
        <v>0-2 Years</v>
      </c>
      <c r="AO1414" t="str">
        <f t="shared" si="91"/>
        <v>26-35 years</v>
      </c>
    </row>
    <row r="1415" spans="1:41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88"/>
        <v>1</v>
      </c>
      <c r="AM1415" t="str">
        <f t="shared" si="89"/>
        <v>0-2 Years</v>
      </c>
      <c r="AN1415" t="str">
        <f t="shared" si="90"/>
        <v>0-2 Years</v>
      </c>
      <c r="AO1415" t="str">
        <f t="shared" si="91"/>
        <v>18-25 years</v>
      </c>
    </row>
    <row r="1416" spans="1:41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88"/>
        <v>1</v>
      </c>
      <c r="AM1416" t="str">
        <f t="shared" si="89"/>
        <v>16-20 Years</v>
      </c>
      <c r="AN1416" t="str">
        <f t="shared" si="90"/>
        <v>11-15 Years</v>
      </c>
      <c r="AO1416" t="str">
        <f t="shared" si="91"/>
        <v>46-55 Years</v>
      </c>
    </row>
    <row r="1417" spans="1:41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88"/>
        <v>1</v>
      </c>
      <c r="AM1417" t="str">
        <f t="shared" si="89"/>
        <v>0-2 Years</v>
      </c>
      <c r="AN1417" t="str">
        <f t="shared" si="90"/>
        <v>0-2 Years</v>
      </c>
      <c r="AO1417" t="str">
        <f t="shared" si="91"/>
        <v>26-35 years</v>
      </c>
    </row>
    <row r="1418" spans="1:41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88"/>
        <v>1</v>
      </c>
      <c r="AM1418" t="str">
        <f t="shared" si="89"/>
        <v>11-15 Years</v>
      </c>
      <c r="AN1418" t="str">
        <f t="shared" si="90"/>
        <v>3-5 Years</v>
      </c>
      <c r="AO1418" t="str">
        <f t="shared" si="91"/>
        <v>36-45 years</v>
      </c>
    </row>
    <row r="1419" spans="1:41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88"/>
        <v>1</v>
      </c>
      <c r="AM1419" t="str">
        <f t="shared" si="89"/>
        <v>0-2 Years</v>
      </c>
      <c r="AN1419" t="str">
        <f t="shared" si="90"/>
        <v>0-2 Years</v>
      </c>
      <c r="AO1419" t="str">
        <f t="shared" si="91"/>
        <v>26-35 years</v>
      </c>
    </row>
    <row r="1420" spans="1:41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88"/>
        <v>1</v>
      </c>
      <c r="AM1420" t="str">
        <f t="shared" si="89"/>
        <v>6-10 Years</v>
      </c>
      <c r="AN1420" t="str">
        <f t="shared" si="90"/>
        <v>6-10 Years</v>
      </c>
      <c r="AO1420" t="str">
        <f t="shared" si="91"/>
        <v>36-45 years</v>
      </c>
    </row>
    <row r="1421" spans="1:41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88"/>
        <v>1</v>
      </c>
      <c r="AM1421" t="str">
        <f t="shared" si="89"/>
        <v>3-5 Years</v>
      </c>
      <c r="AN1421" t="str">
        <f t="shared" si="90"/>
        <v>0-2 Years</v>
      </c>
      <c r="AO1421" t="str">
        <f t="shared" si="91"/>
        <v>36-45 years</v>
      </c>
    </row>
    <row r="1422" spans="1:41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88"/>
        <v>1</v>
      </c>
      <c r="AM1422" t="str">
        <f t="shared" si="89"/>
        <v>3-5 Years</v>
      </c>
      <c r="AN1422" t="str">
        <f t="shared" si="90"/>
        <v>0-2 Years</v>
      </c>
      <c r="AO1422" t="str">
        <f t="shared" si="91"/>
        <v>36-45 years</v>
      </c>
    </row>
    <row r="1423" spans="1:41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88"/>
        <v>1</v>
      </c>
      <c r="AM1423" t="str">
        <f t="shared" si="89"/>
        <v>11-15 Years</v>
      </c>
      <c r="AN1423" t="str">
        <f t="shared" si="90"/>
        <v>3-5 Years</v>
      </c>
      <c r="AO1423" t="str">
        <f t="shared" si="91"/>
        <v>46-55 Years</v>
      </c>
    </row>
    <row r="1424" spans="1:41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88"/>
        <v>1</v>
      </c>
      <c r="AM1424" t="str">
        <f t="shared" si="89"/>
        <v>0-2 Years</v>
      </c>
      <c r="AN1424" t="str">
        <f t="shared" si="90"/>
        <v>0-2 Years</v>
      </c>
      <c r="AO1424" t="str">
        <f t="shared" si="91"/>
        <v>26-35 years</v>
      </c>
    </row>
    <row r="1425" spans="1:41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88"/>
        <v>1</v>
      </c>
      <c r="AM1425" t="str">
        <f t="shared" si="89"/>
        <v>3-5 Years</v>
      </c>
      <c r="AN1425" t="str">
        <f t="shared" si="90"/>
        <v>0-2 Years</v>
      </c>
      <c r="AO1425" t="str">
        <f t="shared" si="91"/>
        <v>18-25 years</v>
      </c>
    </row>
    <row r="1426" spans="1:41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88"/>
        <v>1</v>
      </c>
      <c r="AM1426" t="str">
        <f t="shared" si="89"/>
        <v>6-10 Years</v>
      </c>
      <c r="AN1426" t="str">
        <f t="shared" si="90"/>
        <v>0-2 Years</v>
      </c>
      <c r="AO1426" t="str">
        <f t="shared" si="91"/>
        <v>26-35 years</v>
      </c>
    </row>
    <row r="1427" spans="1:41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88"/>
        <v>1</v>
      </c>
      <c r="AM1427" t="str">
        <f t="shared" si="89"/>
        <v>6-10 Years</v>
      </c>
      <c r="AN1427" t="str">
        <f t="shared" si="90"/>
        <v>6-10 Years</v>
      </c>
      <c r="AO1427" t="str">
        <f t="shared" si="91"/>
        <v>26-35 years</v>
      </c>
    </row>
    <row r="1428" spans="1:41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88"/>
        <v>1</v>
      </c>
      <c r="AM1428" t="str">
        <f t="shared" si="89"/>
        <v>6-10 Years</v>
      </c>
      <c r="AN1428" t="str">
        <f t="shared" si="90"/>
        <v>3-5 Years</v>
      </c>
      <c r="AO1428" t="str">
        <f t="shared" si="91"/>
        <v>26-35 years</v>
      </c>
    </row>
    <row r="1429" spans="1:41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88"/>
        <v>1</v>
      </c>
      <c r="AM1429" t="str">
        <f t="shared" si="89"/>
        <v>0-2 Years</v>
      </c>
      <c r="AN1429" t="str">
        <f t="shared" si="90"/>
        <v>0-2 Years</v>
      </c>
      <c r="AO1429" t="str">
        <f t="shared" si="91"/>
        <v>36-45 years</v>
      </c>
    </row>
    <row r="1430" spans="1:41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88"/>
        <v>1</v>
      </c>
      <c r="AM1430" t="str">
        <f t="shared" si="89"/>
        <v>0-2 Years</v>
      </c>
      <c r="AN1430" t="str">
        <f t="shared" si="90"/>
        <v>0-2 Years</v>
      </c>
      <c r="AO1430" t="str">
        <f t="shared" si="91"/>
        <v>26-35 years</v>
      </c>
    </row>
    <row r="1431" spans="1:41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88"/>
        <v>1</v>
      </c>
      <c r="AM1431" t="str">
        <f t="shared" si="89"/>
        <v>6-10 Years</v>
      </c>
      <c r="AN1431" t="str">
        <f t="shared" si="90"/>
        <v>0-2 Years</v>
      </c>
      <c r="AO1431" t="str">
        <f t="shared" si="91"/>
        <v>36-45 years</v>
      </c>
    </row>
    <row r="1432" spans="1:41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88"/>
        <v>1</v>
      </c>
      <c r="AM1432" t="str">
        <f t="shared" si="89"/>
        <v>16-20 Years</v>
      </c>
      <c r="AN1432" t="str">
        <f t="shared" si="90"/>
        <v>0-2 Years</v>
      </c>
      <c r="AO1432" t="str">
        <f t="shared" si="91"/>
        <v>36-45 years</v>
      </c>
    </row>
    <row r="1433" spans="1:41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88"/>
        <v>1</v>
      </c>
      <c r="AM1433" t="str">
        <f t="shared" si="89"/>
        <v>11-15 Years</v>
      </c>
      <c r="AN1433" t="str">
        <f t="shared" si="90"/>
        <v>3-5 Years</v>
      </c>
      <c r="AO1433" t="str">
        <f t="shared" si="91"/>
        <v>26-35 years</v>
      </c>
    </row>
    <row r="1434" spans="1:41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88"/>
        <v>1</v>
      </c>
      <c r="AM1434" t="str">
        <f t="shared" si="89"/>
        <v>16-20 Years</v>
      </c>
      <c r="AN1434" t="str">
        <f t="shared" si="90"/>
        <v>6-10 Years</v>
      </c>
      <c r="AO1434" t="str">
        <f t="shared" si="91"/>
        <v>36-45 years</v>
      </c>
    </row>
    <row r="1435" spans="1:41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88"/>
        <v>1</v>
      </c>
      <c r="AM1435" t="str">
        <f t="shared" si="89"/>
        <v>3-5 Years</v>
      </c>
      <c r="AN1435" t="str">
        <f t="shared" si="90"/>
        <v>0-2 Years</v>
      </c>
      <c r="AO1435" t="str">
        <f t="shared" si="91"/>
        <v>18-25 years</v>
      </c>
    </row>
    <row r="1436" spans="1:41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88"/>
        <v>1</v>
      </c>
      <c r="AM1436" t="str">
        <f t="shared" si="89"/>
        <v>6-10 Years</v>
      </c>
      <c r="AN1436" t="str">
        <f t="shared" si="90"/>
        <v>0-2 Years</v>
      </c>
      <c r="AO1436" t="str">
        <f t="shared" si="91"/>
        <v>46-55 Years</v>
      </c>
    </row>
    <row r="1437" spans="1:41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88"/>
        <v>1</v>
      </c>
      <c r="AM1437" t="str">
        <f t="shared" si="89"/>
        <v>3-5 Years</v>
      </c>
      <c r="AN1437" t="str">
        <f t="shared" si="90"/>
        <v>0-2 Years</v>
      </c>
      <c r="AO1437" t="str">
        <f t="shared" si="91"/>
        <v>36-45 years</v>
      </c>
    </row>
    <row r="1438" spans="1:41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88"/>
        <v>1</v>
      </c>
      <c r="AM1438" t="str">
        <f t="shared" si="89"/>
        <v>0-2 Years</v>
      </c>
      <c r="AN1438" t="str">
        <f t="shared" si="90"/>
        <v>0-2 Years</v>
      </c>
      <c r="AO1438" t="str">
        <f t="shared" si="91"/>
        <v>18-25 years</v>
      </c>
    </row>
    <row r="1439" spans="1:41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88"/>
        <v>1</v>
      </c>
      <c r="AM1439" t="str">
        <f t="shared" si="89"/>
        <v>6-10 Years</v>
      </c>
      <c r="AN1439" t="str">
        <f t="shared" si="90"/>
        <v>0-2 Years</v>
      </c>
      <c r="AO1439" t="str">
        <f t="shared" si="91"/>
        <v>36-45 years</v>
      </c>
    </row>
    <row r="1440" spans="1:41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88"/>
        <v>1</v>
      </c>
      <c r="AM1440" t="str">
        <f t="shared" si="89"/>
        <v>0-2 Years</v>
      </c>
      <c r="AN1440" t="str">
        <f t="shared" si="90"/>
        <v>0-2 Years</v>
      </c>
      <c r="AO1440" t="str">
        <f t="shared" si="91"/>
        <v>18-25 years</v>
      </c>
    </row>
    <row r="1441" spans="1:41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88"/>
        <v>1</v>
      </c>
      <c r="AM1441" t="str">
        <f t="shared" si="89"/>
        <v>6-10 Years</v>
      </c>
      <c r="AN1441" t="str">
        <f t="shared" si="90"/>
        <v>3-5 Years</v>
      </c>
      <c r="AO1441" t="str">
        <f t="shared" si="91"/>
        <v>36-45 years</v>
      </c>
    </row>
    <row r="1442" spans="1:41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88"/>
        <v>1</v>
      </c>
      <c r="AM1442" t="str">
        <f t="shared" si="89"/>
        <v>3-5 Years</v>
      </c>
      <c r="AN1442" t="str">
        <f t="shared" si="90"/>
        <v>0-2 Years</v>
      </c>
      <c r="AO1442" t="str">
        <f t="shared" si="91"/>
        <v>36-45 years</v>
      </c>
    </row>
    <row r="1443" spans="1:41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88"/>
        <v>1</v>
      </c>
      <c r="AM1443" t="str">
        <f t="shared" si="89"/>
        <v>11-15 Years</v>
      </c>
      <c r="AN1443" t="str">
        <f t="shared" si="90"/>
        <v>0-2 Years</v>
      </c>
      <c r="AO1443" t="str">
        <f t="shared" si="91"/>
        <v>56+ years</v>
      </c>
    </row>
    <row r="1444" spans="1:41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88"/>
        <v>1</v>
      </c>
      <c r="AM1444" t="str">
        <f t="shared" si="89"/>
        <v>0-2 Years</v>
      </c>
      <c r="AN1444" t="str">
        <f t="shared" si="90"/>
        <v>0-2 Years</v>
      </c>
      <c r="AO1444" t="str">
        <f t="shared" si="91"/>
        <v>26-35 years</v>
      </c>
    </row>
    <row r="1445" spans="1:41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88"/>
        <v>1</v>
      </c>
      <c r="AM1445" t="str">
        <f t="shared" si="89"/>
        <v>21+ Years</v>
      </c>
      <c r="AN1445" t="str">
        <f t="shared" si="90"/>
        <v>3-5 Years</v>
      </c>
      <c r="AO1445" t="str">
        <f t="shared" si="91"/>
        <v>36-45 years</v>
      </c>
    </row>
    <row r="1446" spans="1:41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88"/>
        <v>1</v>
      </c>
      <c r="AM1446" t="str">
        <f t="shared" si="89"/>
        <v>6-10 Years</v>
      </c>
      <c r="AN1446" t="str">
        <f t="shared" si="90"/>
        <v>6-10 Years</v>
      </c>
      <c r="AO1446" t="str">
        <f t="shared" si="91"/>
        <v>56+ years</v>
      </c>
    </row>
    <row r="1447" spans="1:41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88"/>
        <v>1</v>
      </c>
      <c r="AM1447" t="str">
        <f t="shared" si="89"/>
        <v>16-20 Years</v>
      </c>
      <c r="AN1447" t="str">
        <f t="shared" si="90"/>
        <v>0-2 Years</v>
      </c>
      <c r="AO1447" t="str">
        <f t="shared" si="91"/>
        <v>36-45 years</v>
      </c>
    </row>
    <row r="1448" spans="1:41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88"/>
        <v>1</v>
      </c>
      <c r="AM1448" t="str">
        <f t="shared" si="89"/>
        <v>6-10 Years</v>
      </c>
      <c r="AN1448" t="str">
        <f t="shared" si="90"/>
        <v>0-2 Years</v>
      </c>
      <c r="AO1448" t="str">
        <f t="shared" si="91"/>
        <v>26-35 years</v>
      </c>
    </row>
    <row r="1449" spans="1:41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88"/>
        <v>1</v>
      </c>
      <c r="AM1449" t="str">
        <f t="shared" si="89"/>
        <v>11-15 Years</v>
      </c>
      <c r="AN1449" t="str">
        <f t="shared" si="90"/>
        <v>11-15 Years</v>
      </c>
      <c r="AO1449" t="str">
        <f t="shared" si="91"/>
        <v>36-45 years</v>
      </c>
    </row>
    <row r="1450" spans="1:41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88"/>
        <v>1</v>
      </c>
      <c r="AM1450" t="str">
        <f t="shared" si="89"/>
        <v>3-5 Years</v>
      </c>
      <c r="AN1450" t="str">
        <f t="shared" si="90"/>
        <v>0-2 Years</v>
      </c>
      <c r="AO1450" t="str">
        <f t="shared" si="91"/>
        <v>36-45 years</v>
      </c>
    </row>
    <row r="1451" spans="1:41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88"/>
        <v>1</v>
      </c>
      <c r="AM1451" t="str">
        <f t="shared" si="89"/>
        <v>3-5 Years</v>
      </c>
      <c r="AN1451" t="str">
        <f t="shared" si="90"/>
        <v>0-2 Years</v>
      </c>
      <c r="AO1451" t="str">
        <f t="shared" si="91"/>
        <v>26-35 years</v>
      </c>
    </row>
    <row r="1452" spans="1:41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88"/>
        <v>1</v>
      </c>
      <c r="AM1452" t="str">
        <f t="shared" si="89"/>
        <v>6-10 Years</v>
      </c>
      <c r="AN1452" t="str">
        <f t="shared" si="90"/>
        <v>0-2 Years</v>
      </c>
      <c r="AO1452" t="str">
        <f t="shared" si="91"/>
        <v>26-35 years</v>
      </c>
    </row>
    <row r="1453" spans="1:41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88"/>
        <v>1</v>
      </c>
      <c r="AM1453" t="str">
        <f t="shared" si="89"/>
        <v>6-10 Years</v>
      </c>
      <c r="AN1453" t="str">
        <f t="shared" si="90"/>
        <v>0-2 Years</v>
      </c>
      <c r="AO1453" t="str">
        <f t="shared" si="91"/>
        <v>36-45 years</v>
      </c>
    </row>
    <row r="1454" spans="1:41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88"/>
        <v>1</v>
      </c>
      <c r="AM1454" t="str">
        <f t="shared" si="89"/>
        <v>6-10 Years</v>
      </c>
      <c r="AN1454" t="str">
        <f t="shared" si="90"/>
        <v>0-2 Years</v>
      </c>
      <c r="AO1454" t="str">
        <f t="shared" si="91"/>
        <v>46-55 Years</v>
      </c>
    </row>
    <row r="1455" spans="1:41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88"/>
        <v>1</v>
      </c>
      <c r="AM1455" t="str">
        <f t="shared" si="89"/>
        <v>6-10 Years</v>
      </c>
      <c r="AN1455" t="str">
        <f t="shared" si="90"/>
        <v>0-2 Years</v>
      </c>
      <c r="AO1455" t="str">
        <f t="shared" si="91"/>
        <v>36-45 years</v>
      </c>
    </row>
    <row r="1456" spans="1:41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88"/>
        <v>1</v>
      </c>
      <c r="AM1456" t="str">
        <f t="shared" si="89"/>
        <v>3-5 Years</v>
      </c>
      <c r="AN1456" t="str">
        <f t="shared" si="90"/>
        <v>0-2 Years</v>
      </c>
      <c r="AO1456" t="str">
        <f t="shared" si="91"/>
        <v>36-45 years</v>
      </c>
    </row>
    <row r="1457" spans="1:41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88"/>
        <v>1</v>
      </c>
      <c r="AM1457" t="str">
        <f t="shared" si="89"/>
        <v>0-2 Years</v>
      </c>
      <c r="AN1457" t="str">
        <f t="shared" si="90"/>
        <v>0-2 Years</v>
      </c>
      <c r="AO1457" t="str">
        <f t="shared" si="91"/>
        <v>36-45 years</v>
      </c>
    </row>
    <row r="1458" spans="1:41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88"/>
        <v>1</v>
      </c>
      <c r="AM1458" t="str">
        <f t="shared" si="89"/>
        <v>6-10 Years</v>
      </c>
      <c r="AN1458" t="str">
        <f t="shared" si="90"/>
        <v>0-2 Years</v>
      </c>
      <c r="AO1458" t="str">
        <f t="shared" si="91"/>
        <v>26-35 years</v>
      </c>
    </row>
    <row r="1459" spans="1:41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88"/>
        <v>1</v>
      </c>
      <c r="AM1459" t="str">
        <f t="shared" si="89"/>
        <v>3-5 Years</v>
      </c>
      <c r="AN1459" t="str">
        <f t="shared" si="90"/>
        <v>0-2 Years</v>
      </c>
      <c r="AO1459" t="str">
        <f t="shared" si="91"/>
        <v>36-45 years</v>
      </c>
    </row>
    <row r="1460" spans="1:41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88"/>
        <v>1</v>
      </c>
      <c r="AM1460" t="str">
        <f t="shared" si="89"/>
        <v>3-5 Years</v>
      </c>
      <c r="AN1460" t="str">
        <f t="shared" si="90"/>
        <v>0-2 Years</v>
      </c>
      <c r="AO1460" t="str">
        <f t="shared" si="91"/>
        <v>26-35 years</v>
      </c>
    </row>
    <row r="1461" spans="1:41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88"/>
        <v>1</v>
      </c>
      <c r="AM1461" t="str">
        <f t="shared" si="89"/>
        <v>3-5 Years</v>
      </c>
      <c r="AN1461" t="str">
        <f t="shared" si="90"/>
        <v>0-2 Years</v>
      </c>
      <c r="AO1461" t="str">
        <f t="shared" si="91"/>
        <v>26-35 years</v>
      </c>
    </row>
    <row r="1462" spans="1:41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88"/>
        <v>1</v>
      </c>
      <c r="AM1462" t="str">
        <f t="shared" si="89"/>
        <v>3-5 Years</v>
      </c>
      <c r="AN1462" t="str">
        <f t="shared" si="90"/>
        <v>0-2 Years</v>
      </c>
      <c r="AO1462" t="str">
        <f t="shared" si="91"/>
        <v>26-35 years</v>
      </c>
    </row>
    <row r="1463" spans="1:41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88"/>
        <v>1</v>
      </c>
      <c r="AM1463" t="str">
        <f t="shared" si="89"/>
        <v>3-5 Years</v>
      </c>
      <c r="AN1463" t="str">
        <f t="shared" si="90"/>
        <v>0-2 Years</v>
      </c>
      <c r="AO1463" t="str">
        <f t="shared" si="91"/>
        <v>46-55 Years</v>
      </c>
    </row>
    <row r="1464" spans="1:41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88"/>
        <v>1</v>
      </c>
      <c r="AM1464" t="str">
        <f t="shared" si="89"/>
        <v>16-20 Years</v>
      </c>
      <c r="AN1464" t="str">
        <f t="shared" si="90"/>
        <v>6-10 Years</v>
      </c>
      <c r="AO1464" t="str">
        <f t="shared" si="91"/>
        <v>36-45 years</v>
      </c>
    </row>
    <row r="1465" spans="1:41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88"/>
        <v>1</v>
      </c>
      <c r="AM1465" t="str">
        <f t="shared" si="89"/>
        <v>6-10 Years</v>
      </c>
      <c r="AN1465" t="str">
        <f t="shared" si="90"/>
        <v>0-2 Years</v>
      </c>
      <c r="AO1465" t="str">
        <f t="shared" si="91"/>
        <v>26-35 years</v>
      </c>
    </row>
    <row r="1466" spans="1:41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88"/>
        <v>1</v>
      </c>
      <c r="AM1466" t="str">
        <f t="shared" si="89"/>
        <v>3-5 Years</v>
      </c>
      <c r="AN1466" t="str">
        <f t="shared" si="90"/>
        <v>0-2 Years</v>
      </c>
      <c r="AO1466" t="str">
        <f t="shared" si="91"/>
        <v>26-35 years</v>
      </c>
    </row>
    <row r="1467" spans="1:41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88"/>
        <v>1</v>
      </c>
      <c r="AM1467" t="str">
        <f t="shared" si="89"/>
        <v>3-5 Years</v>
      </c>
      <c r="AN1467" t="str">
        <f t="shared" si="90"/>
        <v>0-2 Years</v>
      </c>
      <c r="AO1467" t="str">
        <f t="shared" si="91"/>
        <v>36-45 years</v>
      </c>
    </row>
    <row r="1468" spans="1:41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88"/>
        <v>1</v>
      </c>
      <c r="AM1468" t="str">
        <f t="shared" si="89"/>
        <v>6-10 Years</v>
      </c>
      <c r="AN1468" t="str">
        <f t="shared" si="90"/>
        <v>0-2 Years</v>
      </c>
      <c r="AO1468" t="str">
        <f t="shared" si="91"/>
        <v>36-45 years</v>
      </c>
    </row>
    <row r="1469" spans="1:41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88"/>
        <v>1</v>
      </c>
      <c r="AM1469" t="str">
        <f t="shared" si="89"/>
        <v>6-10 Years</v>
      </c>
      <c r="AN1469" t="str">
        <f t="shared" si="90"/>
        <v>0-2 Years</v>
      </c>
      <c r="AO1469" t="str">
        <f t="shared" si="91"/>
        <v>26-35 years</v>
      </c>
    </row>
    <row r="1470" spans="1:41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88"/>
        <v>1</v>
      </c>
      <c r="AM1470" t="str">
        <f t="shared" si="89"/>
        <v>6-10 Years</v>
      </c>
      <c r="AN1470" t="str">
        <f t="shared" si="90"/>
        <v>0-2 Years</v>
      </c>
      <c r="AO1470" t="str">
        <f t="shared" si="91"/>
        <v>46-55 Years</v>
      </c>
    </row>
    <row r="1471" spans="1:41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88"/>
        <v>1</v>
      </c>
      <c r="AM1471" t="str">
        <f t="shared" si="89"/>
        <v>3-5 Years</v>
      </c>
      <c r="AN1471" t="str">
        <f t="shared" si="90"/>
        <v>0-2 Years</v>
      </c>
      <c r="AO1471" t="str">
        <f t="shared" si="91"/>
        <v>26-35 years</v>
      </c>
    </row>
  </sheetData>
  <autoFilter ref="A1:AN147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Dashboard</vt:lpstr>
      <vt:lpstr>WA_Fn-UseC_-HR-Employee-Attriti</vt:lpstr>
      <vt:lpstr>A</vt:lpstr>
      <vt:lpstr>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2026-09-30T13:03:39Z</dcterms:created>
  <dcterms:modified xsi:type="dcterms:W3CDTF">2026-10-02T07:45:34Z</dcterms:modified>
</cp:coreProperties>
</file>